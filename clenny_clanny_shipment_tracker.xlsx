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Shipment Setup" sheetId="2" r:id="rId5"/>
    <sheet state="visible" name="Operations Ledger" sheetId="3" r:id="rId6"/>
    <sheet state="visible" name="Sales Ledger" sheetId="4" r:id="rId7"/>
    <sheet state="visible" name="Settlement" sheetId="5" r:id="rId8"/>
    <sheet state="visible" name="Rules" sheetId="6" r:id="rId9"/>
    <sheet state="visible" name="All Shipments Summary" sheetId="7" r:id="rId10"/>
  </sheets>
  <definedNames/>
  <calcPr/>
  <extLst>
    <ext uri="GoogleSheetsCustomDataVersion2">
      <go:sheetsCustomData xmlns:go="http://customooxmlschemas.google.com/" r:id="rId11" roundtripDataChecksum="jIiVXy2pLjHz1i5IBtHjMb/2vTVPBcJhUJYI/VewYhQ="/>
    </ext>
  </extLst>
</workbook>
</file>

<file path=xl/sharedStrings.xml><?xml version="1.0" encoding="utf-8"?>
<sst xmlns="http://schemas.openxmlformats.org/spreadsheetml/2006/main" count="513" uniqueCount="175">
  <si>
    <t>Clenny &amp; Clanny Shipment Tracker</t>
  </si>
  <si>
    <t>Selected Shipment ID</t>
  </si>
  <si>
    <t>Partner</t>
  </si>
  <si>
    <t>Contribution %</t>
  </si>
  <si>
    <t>Projected Payout</t>
  </si>
  <si>
    <t>Product</t>
  </si>
  <si>
    <t>Clenny</t>
  </si>
  <si>
    <t>Status</t>
  </si>
  <si>
    <t>Clanny</t>
  </si>
  <si>
    <t>Boxes Coming</t>
  </si>
  <si>
    <t>Total</t>
  </si>
  <si>
    <t>Total Cases</t>
  </si>
  <si>
    <t>Total Rolls</t>
  </si>
  <si>
    <t>Metric</t>
  </si>
  <si>
    <t>Value</t>
  </si>
  <si>
    <t>Notes</t>
  </si>
  <si>
    <t>Total Cans</t>
  </si>
  <si>
    <t>Product cost</t>
  </si>
  <si>
    <t>Two boxes × 6 cases × $608/case</t>
  </si>
  <si>
    <t>Cost per Case</t>
  </si>
  <si>
    <t>Projected revenue</t>
  </si>
  <si>
    <t>Total cans × target sale price</t>
  </si>
  <si>
    <t>Product Cost</t>
  </si>
  <si>
    <t>Projected profit</t>
  </si>
  <si>
    <t>Revenue minus product and approved ops</t>
  </si>
  <si>
    <t>Target Sale Price/Can</t>
  </si>
  <si>
    <t>Ops entered</t>
  </si>
  <si>
    <t>Currently zero unless added in Operations Ledger</t>
  </si>
  <si>
    <t>Projected Revenue</t>
  </si>
  <si>
    <t>Sales entered</t>
  </si>
  <si>
    <t>Pulled from Sales Ledger</t>
  </si>
  <si>
    <t>Projected Profit After Ops</t>
  </si>
  <si>
    <t>Inventory remaining</t>
  </si>
  <si>
    <t>Cans not yet sold</t>
  </si>
  <si>
    <t>Check</t>
  </si>
  <si>
    <t>Should be $0.00 when formulas balance</t>
  </si>
  <si>
    <t>Clenny Product Invest</t>
  </si>
  <si>
    <t>Clanny Product Invest</t>
  </si>
  <si>
    <t>Clenny Approved Ops</t>
  </si>
  <si>
    <t>Clanny Approved Ops</t>
  </si>
  <si>
    <t>Clenny Contribution %</t>
  </si>
  <si>
    <t>Clanny Contribution %</t>
  </si>
  <si>
    <t>Clenny Projected Payout</t>
  </si>
  <si>
    <t>Clanny Projected Payout</t>
  </si>
  <si>
    <t>Inventory Remaining, Cans</t>
  </si>
  <si>
    <t>Shipment ID</t>
  </si>
  <si>
    <t>Boxes Ordered</t>
  </si>
  <si>
    <t>Cases/Box</t>
  </si>
  <si>
    <t>Rolls/Case</t>
  </si>
  <si>
    <t>Cans/Roll</t>
  </si>
  <si>
    <t>Cans/Case</t>
  </si>
  <si>
    <t>Cans/Box</t>
  </si>
  <si>
    <t>Cases Ordered</t>
  </si>
  <si>
    <t>Rolls Ordered</t>
  </si>
  <si>
    <t>Cost/Case</t>
  </si>
  <si>
    <t>Total Product Cost</t>
  </si>
  <si>
    <t>SHP-002</t>
  </si>
  <si>
    <t>Copenhagen</t>
  </si>
  <si>
    <t>In Transit</t>
  </si>
  <si>
    <t>Expected arrival: July 1. Base planning assumption: most cans sell at $12 each, with some possibly sold at $13.</t>
  </si>
  <si>
    <t>SHP-003</t>
  </si>
  <si>
    <t>Grizzly</t>
  </si>
  <si>
    <t>Planned</t>
  </si>
  <si>
    <t>Per Clanny 7/1: Grizzly letter F, $497/case. PO guy MAJ charges $250/box starting this shipment, plus one case for himself. Boxes/case config TBD.</t>
  </si>
  <si>
    <t>Owner</t>
  </si>
  <si>
    <t>Date</t>
  </si>
  <si>
    <t>Category</t>
  </si>
  <si>
    <t>Amount</t>
  </si>
  <si>
    <t>Included in Settlement?</t>
  </si>
  <si>
    <t>Description / Notes</t>
  </si>
  <si>
    <t>Receipt / Proof Link</t>
  </si>
  <si>
    <t>Vehicle Rental</t>
  </si>
  <si>
    <t>Yes</t>
  </si>
  <si>
    <t>Rental per Clanny 7/1 report</t>
  </si>
  <si>
    <t>Gas</t>
  </si>
  <si>
    <t>Actual (confirmed, was initially an estimate)</t>
  </si>
  <si>
    <t>Cargo</t>
  </si>
  <si>
    <t>Cargo fee</t>
  </si>
  <si>
    <t>Cargo Labor</t>
  </si>
  <si>
    <t>Cargo person</t>
  </si>
  <si>
    <t>Mailing PO HNL-MAJ</t>
  </si>
  <si>
    <t>$118.27 per box × 2 boxes</t>
  </si>
  <si>
    <t>Mail Person Fee</t>
  </si>
  <si>
    <t>No</t>
  </si>
  <si>
    <t>Payable AFTER product sold — not paid yet. Change Included to Yes once paid.</t>
  </si>
  <si>
    <t>Customer / Store</t>
  </si>
  <si>
    <t>Boxes Sold</t>
  </si>
  <si>
    <t>Cases Sold</t>
  </si>
  <si>
    <t>Rolls Sold</t>
  </si>
  <si>
    <t>Loose Cans Sold</t>
  </si>
  <si>
    <t>Total Cans Sold</t>
  </si>
  <si>
    <t>Price/Can</t>
  </si>
  <si>
    <t>Gross Sales</t>
  </si>
  <si>
    <t>Collected By</t>
  </si>
  <si>
    <t>Payment Status</t>
  </si>
  <si>
    <t>Paid</t>
  </si>
  <si>
    <t>Settlement Logic</t>
  </si>
  <si>
    <t>Clenny Product Investment</t>
  </si>
  <si>
    <t>Clanny Product Investment</t>
  </si>
  <si>
    <t>Clenny Approved Operations</t>
  </si>
  <si>
    <t>Clanny Approved Operations</t>
  </si>
  <si>
    <t>Total Operations</t>
  </si>
  <si>
    <t>Total Contribution Basis</t>
  </si>
  <si>
    <t>Clenny Contribution Basis</t>
  </si>
  <si>
    <t>Clanny Contribution Basis</t>
  </si>
  <si>
    <t>Gross Sales Entered To Date</t>
  </si>
  <si>
    <t>Projected Gross Revenue</t>
  </si>
  <si>
    <t>Projected Profit After Approved Ops</t>
  </si>
  <si>
    <t>Current Profit/Loss Based On Sales To Date</t>
  </si>
  <si>
    <t>Clenny Projected Profit Share</t>
  </si>
  <si>
    <t>Clanny Projected Profit Share</t>
  </si>
  <si>
    <t>Cash Collected by Clenny</t>
  </si>
  <si>
    <t>Cash Collected by Clanny</t>
  </si>
  <si>
    <t>Inventory Sold, Cans</t>
  </si>
  <si>
    <t>Remaining Inventory Value @ Target Price</t>
  </si>
  <si>
    <t>Clenny Balance After All Sales Entered</t>
  </si>
  <si>
    <t>Clanny Balance After All Sales Entered</t>
  </si>
  <si>
    <t>Check: Projected Payouts - Projected Revenue</t>
  </si>
  <si>
    <t>Check: Contribution Basis</t>
  </si>
  <si>
    <t>Rules for Shipments Moving Forward</t>
  </si>
  <si>
    <t>Rule</t>
  </si>
  <si>
    <t>Meaning</t>
  </si>
  <si>
    <t>Where to enter it</t>
  </si>
  <si>
    <t>Affects settlement?</t>
  </si>
  <si>
    <t>Note</t>
  </si>
  <si>
    <t>First shipment excluded</t>
  </si>
  <si>
    <t>The proof-of-concept loss is not carried forward.</t>
  </si>
  <si>
    <t>N/A</t>
  </si>
  <si>
    <t>Starting clean with SHP-002.</t>
  </si>
  <si>
    <t>Clenny product investment</t>
  </si>
  <si>
    <t>$501.00 starts as Clenny's investment for the Copenhagen shipment.</t>
  </si>
  <si>
    <t>Shipment Setup!Q2</t>
  </si>
  <si>
    <t>Editable if cash contribution changes.</t>
  </si>
  <si>
    <t>Clanny product investment</t>
  </si>
  <si>
    <t>The remainder of the product cost belongs to Clanny.</t>
  </si>
  <si>
    <t>Shipment Setup!R2</t>
  </si>
  <si>
    <t>Formula: total product cost minus Clenny investment.</t>
  </si>
  <si>
    <t>Own operations entered separately</t>
  </si>
  <si>
    <t>Clanny enters Clanny costs; Clenny enters Clenny costs.</t>
  </si>
  <si>
    <t>Operations Ledger</t>
  </si>
  <si>
    <t>Yes, only if Included = Yes</t>
  </si>
  <si>
    <t>Gas, rental, freight, pickup, loading, etc.</t>
  </si>
  <si>
    <t>No even split on operations</t>
  </si>
  <si>
    <t>Operational costs are not automatically split 50/50.</t>
  </si>
  <si>
    <t>Each person's approved ops increase their contribution basis.</t>
  </si>
  <si>
    <t>Approved business ops only</t>
  </si>
  <si>
    <t>Personal expenses should not be included.</t>
  </si>
  <si>
    <t>Operations Ledger column F</t>
  </si>
  <si>
    <t>Only Yes rows</t>
  </si>
  <si>
    <t>Do not let random lunch receipts become corporate finance.</t>
  </si>
  <si>
    <t>Product taken personally</t>
  </si>
  <si>
    <t>Enter as sale/withdrawal, not as operations.</t>
  </si>
  <si>
    <t>Sales Ledger</t>
  </si>
  <si>
    <t>This prevents product taken from hiding inside operations.</t>
  </si>
  <si>
    <t>Final payout method</t>
  </si>
  <si>
    <t>Payout = contribution reimbursement + profit share.</t>
  </si>
  <si>
    <t>Settlement</t>
  </si>
  <si>
    <t>Formula driven</t>
  </si>
  <si>
    <t>Profit share is based on total approved contribution basis.</t>
  </si>
  <si>
    <t>Cash collection matters</t>
  </si>
  <si>
    <t>Whoever collects customer money is tracked separately.</t>
  </si>
  <si>
    <t>Sales Ledger column L</t>
  </si>
  <si>
    <t>Settlement balances compare payout due versus cash held.</t>
  </si>
  <si>
    <t>Inventory math</t>
  </si>
  <si>
    <t>2 boxes = 12 cases = 216 rolls = 1,080 cans.</t>
  </si>
  <si>
    <t>Shipment Setup</t>
  </si>
  <si>
    <t>Based on 6 cases/box, 18 rolls/case, 5 cans/roll.</t>
  </si>
  <si>
    <t>Target sale price</t>
  </si>
  <si>
    <t>Shipment Setup!O2</t>
  </si>
  <si>
    <t>Change this if actual selling price changes.</t>
  </si>
  <si>
    <t>Gross Sales To Date</t>
  </si>
  <si>
    <t>Cans Sold</t>
  </si>
  <si>
    <t>Inventory Remaining</t>
  </si>
  <si>
    <t>Clenny Balance</t>
  </si>
  <si>
    <t>Clanny Balance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</si>
</sst>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$#,##0.00"/>
    <numFmt numFmtId="165" formatCode="&quot;$&quot;#,##0.00"/>
    <numFmt numFmtId="166" formatCode="yyyy\-mm\-dd"/>
  </numFmts>
  <fonts count="9">
    <font>
      <sz val="11.0"/>
      <color rgb="FF000000"/>
      <name val="Carlito"/>
      <scheme val="minor"/>
    </font>
    <font>
      <b/>
      <sz val="16.0"/>
      <color rgb="FFFFFFFF"/>
      <name val="Carlito"/>
    </font>
    <font/>
    <font>
      <sz val="11.0"/>
      <color theme="1"/>
      <name val="Carlito"/>
    </font>
    <font>
      <b/>
      <sz val="11.0"/>
      <color theme="1"/>
      <name val="Carlito"/>
    </font>
    <font>
      <b/>
      <sz val="11.0"/>
      <color rgb="FFFFFFFF"/>
      <name val="Carlito"/>
    </font>
    <font>
      <b/>
      <sz val="11.0"/>
      <color rgb="FF7F6000"/>
      <name val="Carlito"/>
    </font>
    <font>
      <b/>
      <sz val="15.0"/>
      <color rgb="FFFFFFFF"/>
      <name val="Carlito"/>
    </font>
    <font>
      <color theme="1"/>
      <name val="Carlito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EAF2F8"/>
        <bgColor rgb="FFEAF2F8"/>
      </patternFill>
    </fill>
    <fill>
      <patternFill patternType="solid">
        <fgColor rgb="FF0F766E"/>
        <bgColor rgb="FF0F766E"/>
      </patternFill>
    </fill>
    <fill>
      <patternFill patternType="solid">
        <fgColor rgb="FFF3F4F6"/>
        <bgColor rgb="FFF3F4F6"/>
      </patternFill>
    </fill>
    <fill>
      <patternFill patternType="solid">
        <fgColor rgb="FFDBEAFE"/>
        <bgColor rgb="FFDBEAFE"/>
      </patternFill>
    </fill>
    <fill>
      <patternFill patternType="solid">
        <fgColor rgb="FFFFFF00"/>
        <bgColor rgb="FFFFFF00"/>
      </patternFill>
    </fill>
    <fill>
      <patternFill patternType="solid">
        <fgColor rgb="FFFEF3C7"/>
        <bgColor rgb="FFFEF3C7"/>
      </patternFill>
    </fill>
    <fill>
      <patternFill patternType="solid">
        <fgColor rgb="FFD9EAF7"/>
        <bgColor rgb="FFD9EAF7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1"/>
    </xf>
    <xf borderId="4" fillId="3" fontId="4" numFmtId="0" xfId="0" applyAlignment="1" applyBorder="1" applyFill="1" applyFont="1">
      <alignment shrinkToFit="0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5" fontId="4" numFmtId="0" xfId="0" applyAlignment="1" applyBorder="1" applyFill="1" applyFont="1">
      <alignment shrinkToFit="0" wrapText="1"/>
    </xf>
    <xf borderId="4" fillId="6" fontId="3" numFmtId="0" xfId="0" applyAlignment="1" applyBorder="1" applyFill="1" applyFont="1">
      <alignment shrinkToFit="0" wrapText="1"/>
    </xf>
    <xf borderId="0" fillId="0" fontId="3" numFmtId="10" xfId="0" applyAlignment="1" applyFont="1" applyNumberFormat="1">
      <alignment shrinkToFit="0" wrapText="1"/>
    </xf>
    <xf borderId="0" fillId="0" fontId="3" numFmtId="164" xfId="0" applyAlignment="1" applyFont="1" applyNumberFormat="1">
      <alignment shrinkToFit="0" wrapText="1"/>
    </xf>
    <xf borderId="4" fillId="6" fontId="3" numFmtId="3" xfId="0" applyAlignment="1" applyBorder="1" applyFont="1" applyNumberFormat="1">
      <alignment shrinkToFit="0" wrapText="1"/>
    </xf>
    <xf borderId="4" fillId="6" fontId="3" numFmtId="164" xfId="0" applyAlignment="1" applyBorder="1" applyFont="1" applyNumberFormat="1">
      <alignment shrinkToFit="0" wrapText="1"/>
    </xf>
    <xf borderId="4" fillId="7" fontId="4" numFmtId="0" xfId="0" applyAlignment="1" applyBorder="1" applyFill="1" applyFont="1">
      <alignment shrinkToFit="0" wrapText="1"/>
    </xf>
    <xf borderId="4" fillId="7" fontId="6" numFmtId="164" xfId="0" applyAlignment="1" applyBorder="1" applyFont="1" applyNumberFormat="1">
      <alignment shrinkToFit="0" wrapText="1"/>
    </xf>
    <xf borderId="0" fillId="0" fontId="3" numFmtId="3" xfId="0" applyAlignment="1" applyFont="1" applyNumberFormat="1">
      <alignment shrinkToFit="0" wrapText="1"/>
    </xf>
    <xf borderId="4" fillId="6" fontId="3" numFmtId="10" xfId="0" applyAlignment="1" applyBorder="1" applyFont="1" applyNumberFormat="1">
      <alignment shrinkToFit="0" wrapText="1"/>
    </xf>
    <xf borderId="4" fillId="4" fontId="5" numFmtId="0" xfId="0" applyAlignment="1" applyBorder="1" applyFont="1">
      <alignment horizontal="center" shrinkToFit="0" vertical="center" wrapText="1"/>
    </xf>
    <xf borderId="4" fillId="8" fontId="3" numFmtId="0" xfId="0" applyAlignment="1" applyBorder="1" applyFill="1" applyFont="1">
      <alignment shrinkToFit="0" wrapText="1"/>
    </xf>
    <xf borderId="4" fillId="8" fontId="3" numFmtId="3" xfId="0" applyAlignment="1" applyBorder="1" applyFont="1" applyNumberFormat="1">
      <alignment shrinkToFit="0" wrapText="1"/>
    </xf>
    <xf borderId="4" fillId="6" fontId="3" numFmtId="3" xfId="0" applyAlignment="1" applyBorder="1" applyFont="1" applyNumberFormat="1">
      <alignment shrinkToFit="0" wrapText="1"/>
    </xf>
    <xf borderId="4" fillId="8" fontId="3" numFmtId="164" xfId="0" applyAlignment="1" applyBorder="1" applyFont="1" applyNumberFormat="1">
      <alignment shrinkToFit="0" wrapText="1"/>
    </xf>
    <xf borderId="4" fillId="6" fontId="3" numFmtId="164" xfId="0" applyAlignment="1" applyBorder="1" applyFont="1" applyNumberFormat="1">
      <alignment shrinkToFit="0" wrapText="1"/>
    </xf>
    <xf borderId="0" fillId="0" fontId="3" numFmtId="0" xfId="0" applyAlignment="1" applyFont="1">
      <alignment shrinkToFit="0" wrapText="1"/>
    </xf>
    <xf borderId="4" fillId="8" fontId="3" numFmtId="165" xfId="0" applyAlignment="1" applyBorder="1" applyFont="1" applyNumberFormat="1">
      <alignment shrinkToFit="0" wrapText="1"/>
    </xf>
    <xf borderId="4" fillId="8" fontId="3" numFmtId="14" xfId="0" applyAlignment="1" applyBorder="1" applyFont="1" applyNumberFormat="1">
      <alignment shrinkToFit="0" wrapText="1"/>
    </xf>
    <xf borderId="4" fillId="8" fontId="3" numFmtId="166" xfId="0" applyAlignment="1" applyBorder="1" applyFont="1" applyNumberFormat="1">
      <alignment shrinkToFit="0" wrapText="1"/>
    </xf>
    <xf borderId="4" fillId="6" fontId="3" numFmtId="0" xfId="0" applyAlignment="1" applyBorder="1" applyFont="1">
      <alignment shrinkToFit="0" wrapText="1"/>
    </xf>
    <xf borderId="1" fillId="2" fontId="7" numFmtId="0" xfId="0" applyAlignment="1" applyBorder="1" applyFont="1">
      <alignment horizontal="center" shrinkToFit="0" vertical="center" wrapText="1"/>
    </xf>
    <xf borderId="4" fillId="9" fontId="4" numFmtId="0" xfId="0" applyBorder="1" applyFill="1" applyFont="1"/>
    <xf borderId="0" fillId="0" fontId="8" numFmtId="0" xfId="0" applyFont="1"/>
    <xf borderId="0" fillId="0" fontId="8" numFmtId="164" xfId="0" applyFont="1" applyNumberFormat="1"/>
  </cellXfs>
  <cellStyles count="1">
    <cellStyle xfId="0" name="Normal" builtinId="0"/>
  </cellStyles>
  <dxfs count="6">
    <dxf>
      <font>
        <b/>
        <color rgb="FF065F46"/>
      </font>
      <fill>
        <patternFill patternType="solid">
          <fgColor rgb="FFD1FAE5"/>
          <bgColor rgb="FFD1FAE5"/>
        </patternFill>
      </fill>
      <border/>
    </dxf>
    <dxf>
      <font>
        <b/>
        <color rgb="FF991B1B"/>
      </font>
      <fill>
        <patternFill patternType="solid">
          <fgColor rgb="FFFEE2E2"/>
          <bgColor rgb="FFFEE2E2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4">
    <tableStyle count="3" pivot="0" name="Shipment Setup-style">
      <tableStyleElement dxfId="3" type="headerRow"/>
      <tableStyleElement dxfId="4" type="firstRowStripe"/>
      <tableStyleElement dxfId="5" type="secondRowStripe"/>
    </tableStyle>
    <tableStyle count="3" pivot="0" name="Operations Ledger-style">
      <tableStyleElement dxfId="3" type="headerRow"/>
      <tableStyleElement dxfId="4" type="firstRowStripe"/>
      <tableStyleElement dxfId="5" type="secondRowStripe"/>
    </tableStyle>
    <tableStyle count="3" pivot="0" name="Sales Ledger-style">
      <tableStyleElement dxfId="3" type="headerRow"/>
      <tableStyleElement dxfId="4" type="firstRowStripe"/>
      <tableStyleElement dxfId="5" type="secondRowStripe"/>
    </tableStyle>
    <tableStyle count="3" pivot="0" name="Rules-style">
      <tableStyleElement dxfId="3" type="headerRow"/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Contribution %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Dashboard!$D$4:$D$5</c:f>
            </c:strRef>
          </c:cat>
          <c:val>
            <c:numRef>
              <c:f>Dashboard!$E$4:$E$5</c:f>
              <c:numCache/>
            </c:numRef>
          </c:val>
        </c:ser>
        <c:ser>
          <c:idx val="1"/>
          <c:order val="1"/>
          <c:tx>
            <c:v>Projected Payout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Dashboard!$D$4:$D$5</c:f>
            </c:strRef>
          </c:cat>
          <c:val>
            <c:numRef>
              <c:f>Dashboard!$F$4:$F$5</c:f>
              <c:numCache/>
            </c:numRef>
          </c:val>
        </c:ser>
        <c:axId val="1095750123"/>
        <c:axId val="934161019"/>
      </c:barChart>
      <c:catAx>
        <c:axId val="10957501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4161019"/>
      </c:catAx>
      <c:valAx>
        <c:axId val="9341610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575012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Calibri"/>
              </a:defRPr>
            </a:pPr>
            <a:r>
              <a:rPr b="0" i="0" sz="1400">
                <a:solidFill>
                  <a:srgbClr val="757575"/>
                </a:solidFill>
                <a:latin typeface="Calibri"/>
              </a:rPr>
              <a:t>Shipment Financial Snapshot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Value</c:v>
          </c:tx>
          <c:spPr>
            <a:solidFill>
              <a:srgbClr val="5B9BD5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Dashboard!$D$9:$D$12</c:f>
            </c:strRef>
          </c:cat>
          <c:val>
            <c:numRef>
              <c:f>Dashboard!$E$9:$E$12</c:f>
              <c:numCache/>
            </c:numRef>
          </c:val>
        </c:ser>
        <c:axId val="1652352462"/>
        <c:axId val="1576984833"/>
      </c:barChart>
      <c:catAx>
        <c:axId val="16523524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76984833"/>
      </c:catAx>
      <c:valAx>
        <c:axId val="1576984833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52352462"/>
      </c:valAx>
      <c:spPr>
        <a:solidFill>
          <a:srgbClr val="FFFFFF"/>
        </a:solidFill>
      </c:spPr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133350</xdr:colOff>
      <xdr:row>2</xdr:row>
      <xdr:rowOff>19050</xdr:rowOff>
    </xdr:from>
    <xdr:ext cx="5143500" cy="6048375"/>
    <xdr:graphicFrame>
      <xdr:nvGraphicFramePr>
        <xdr:cNvPr id="272770369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123825</xdr:colOff>
      <xdr:row>15</xdr:row>
      <xdr:rowOff>171450</xdr:rowOff>
    </xdr:from>
    <xdr:ext cx="5210175" cy="3981450"/>
    <xdr:graphicFrame>
      <xdr:nvGraphicFramePr>
        <xdr:cNvPr id="1638011277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S51" displayName="Table_1" name="Table_1" id="1">
  <tableColumns count="19">
    <tableColumn name="Shipment ID" id="1"/>
    <tableColumn name="Product" id="2"/>
    <tableColumn name="Status" id="3"/>
    <tableColumn name="Boxes Ordered" id="4"/>
    <tableColumn name="Cases/Box" id="5"/>
    <tableColumn name="Rolls/Case" id="6"/>
    <tableColumn name="Cans/Roll" id="7"/>
    <tableColumn name="Cans/Case" id="8"/>
    <tableColumn name="Cans/Box" id="9"/>
    <tableColumn name="Cases Ordered" id="10"/>
    <tableColumn name="Rolls Ordered" id="11"/>
    <tableColumn name="Total Cans" id="12"/>
    <tableColumn name="Cost/Case" id="13"/>
    <tableColumn name="Total Product Cost" id="14"/>
    <tableColumn name="Target Sale Price/Can" id="15"/>
    <tableColumn name="Projected Revenue" id="16"/>
    <tableColumn name="Clenny Product Invest" id="17"/>
    <tableColumn name="Clanny Product Invest" id="18"/>
    <tableColumn name="Notes" id="19"/>
  </tableColumns>
  <tableStyleInfo name="Shipment Setup-style" showColumnStripes="0" showFirstColumn="1" showLastColumn="1" showRowStripes="1"/>
</table>
</file>

<file path=xl/tables/table2.xml><?xml version="1.0" encoding="utf-8"?>
<table xmlns="http://schemas.openxmlformats.org/spreadsheetml/2006/main" ref="A1:H51" displayName="Table_2" name="Table_2" id="2">
  <tableColumns count="8">
    <tableColumn name="Shipment ID" id="1"/>
    <tableColumn name="Owner" id="2"/>
    <tableColumn name="Date" id="3"/>
    <tableColumn name="Category" id="4"/>
    <tableColumn name="Amount" id="5"/>
    <tableColumn name="Included in Settlement?" id="6"/>
    <tableColumn name="Description / Notes" id="7"/>
    <tableColumn name="Receipt / Proof Link" id="8"/>
  </tableColumns>
  <tableStyleInfo name="Operations Ledger-style" showColumnStripes="0" showFirstColumn="1" showLastColumn="1" showRowStripes="1"/>
</table>
</file>

<file path=xl/tables/table3.xml><?xml version="1.0" encoding="utf-8"?>
<table xmlns="http://schemas.openxmlformats.org/spreadsheetml/2006/main" ref="A1:N101" displayName="Table_3" name="Table_3" id="3">
  <tableColumns count="14">
    <tableColumn name="Shipment ID" id="1"/>
    <tableColumn name="Date" id="2"/>
    <tableColumn name="Product" id="3"/>
    <tableColumn name="Customer / Store" id="4"/>
    <tableColumn name="Boxes Sold" id="5"/>
    <tableColumn name="Cases Sold" id="6"/>
    <tableColumn name="Rolls Sold" id="7"/>
    <tableColumn name="Loose Cans Sold" id="8"/>
    <tableColumn name="Total Cans Sold" id="9"/>
    <tableColumn name="Price/Can" id="10"/>
    <tableColumn name="Gross Sales" id="11"/>
    <tableColumn name="Collected By" id="12"/>
    <tableColumn name="Payment Status" id="13"/>
    <tableColumn name="Notes" id="14"/>
  </tableColumns>
  <tableStyleInfo name="Sales Ledger-style" showColumnStripes="0" showFirstColumn="1" showLastColumn="1" showRowStripes="1"/>
</table>
</file>

<file path=xl/tables/table4.xml><?xml version="1.0" encoding="utf-8"?>
<table xmlns="http://schemas.openxmlformats.org/spreadsheetml/2006/main" ref="A3:E14" displayName="Table_4" name="Table_4" id="4">
  <tableColumns count="5">
    <tableColumn name="Rule" id="1"/>
    <tableColumn name="Meaning" id="2"/>
    <tableColumn name="Where to enter it" id="3"/>
    <tableColumn name="Affects settlement?" id="4"/>
    <tableColumn name="Note" id="5"/>
  </tableColumns>
  <tableStyleInfo name="Ru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30.38"/>
    <col customWidth="1" min="3" max="3" width="2.0"/>
    <col customWidth="1" min="4" max="4" width="17.75"/>
    <col customWidth="1" min="5" max="5" width="14.25"/>
    <col customWidth="1" min="6" max="6" width="36.0"/>
    <col customWidth="1" min="7" max="8" width="4.0"/>
    <col customWidth="1" min="9" max="26" width="8.63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5" t="s">
        <v>1</v>
      </c>
      <c r="B3" s="5" t="str">
        <f>Settlement!B2</f>
        <v>SHP-002</v>
      </c>
      <c r="C3" s="4"/>
      <c r="D3" s="6" t="s">
        <v>2</v>
      </c>
      <c r="E3" s="6" t="s">
        <v>3</v>
      </c>
      <c r="F3" s="6" t="s">
        <v>4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7" t="s">
        <v>5</v>
      </c>
      <c r="B4" s="8" t="str">
        <f t="array" ref="B4">IF($B$3="","",XLOOKUP($B$3,'Shipment Setup'!$A:$A,'Shipment Setup'!$B:$B,""))</f>
        <v>Copenhagen</v>
      </c>
      <c r="C4" s="4"/>
      <c r="D4" s="4" t="s">
        <v>6</v>
      </c>
      <c r="E4" s="9">
        <f>Settlement!B14</f>
        <v>0.0637984123</v>
      </c>
      <c r="F4" s="10">
        <f>Settlement!B24</f>
        <v>826.8274234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7" t="s">
        <v>7</v>
      </c>
      <c r="B5" s="8" t="str">
        <f t="array" ref="B5">IF($B$3="","",XLOOKUP($B$3,'Shipment Setup'!$A:$A,'Shipment Setup'!$C:$C,""))</f>
        <v>In Transit</v>
      </c>
      <c r="C5" s="4"/>
      <c r="D5" s="4" t="s">
        <v>8</v>
      </c>
      <c r="E5" s="9">
        <f>Settlement!B15</f>
        <v>0.9362015877</v>
      </c>
      <c r="F5" s="10">
        <f>Settlement!B25</f>
        <v>12133.17258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7" t="s">
        <v>9</v>
      </c>
      <c r="B6" s="11">
        <f t="array" ref="B6">IF($B$3="","",XLOOKUP($B$3,'Shipment Setup'!$A:$A,'Shipment Setup'!$D:$D,""))</f>
        <v>2</v>
      </c>
      <c r="C6" s="4"/>
      <c r="D6" s="4" t="s">
        <v>10</v>
      </c>
      <c r="E6" s="9">
        <f t="shared" ref="E6:F6" si="1">SUM(E4:E5)</f>
        <v>1</v>
      </c>
      <c r="F6" s="10">
        <f t="shared" si="1"/>
        <v>12960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7" t="s">
        <v>11</v>
      </c>
      <c r="B7" s="11">
        <f t="array" ref="B7">IF($B$3="","",XLOOKUP($B$3,'Shipment Setup'!$A:$A,'Shipment Setup'!$J:$J,""))</f>
        <v>12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7" t="s">
        <v>12</v>
      </c>
      <c r="B8" s="11">
        <f t="array" ref="B8">IF($B$3="","",XLOOKUP($B$3,'Shipment Setup'!$A:$A,'Shipment Setup'!$K:$K,""))</f>
        <v>216</v>
      </c>
      <c r="C8" s="4"/>
      <c r="D8" s="6" t="s">
        <v>13</v>
      </c>
      <c r="E8" s="6" t="s">
        <v>14</v>
      </c>
      <c r="F8" s="6" t="s">
        <v>15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7" t="s">
        <v>16</v>
      </c>
      <c r="B9" s="11">
        <f t="array" ref="B9">IF($B$3="","",XLOOKUP($B$3,'Shipment Setup'!$A:$A,'Shipment Setup'!$L:$L,""))</f>
        <v>1080</v>
      </c>
      <c r="C9" s="4"/>
      <c r="D9" s="4" t="s">
        <v>17</v>
      </c>
      <c r="E9" s="10">
        <f t="array" ref="E9">IF($B$3="","",XLOOKUP($B$3,'Shipment Setup'!$A:$A,'Shipment Setup'!$N:$N,""))</f>
        <v>7296</v>
      </c>
      <c r="F9" s="4" t="s">
        <v>18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7" t="s">
        <v>19</v>
      </c>
      <c r="B10" s="12">
        <f t="array" ref="B10">IF($B$3="","",XLOOKUP($B$3,'Shipment Setup'!$A:$A,'Shipment Setup'!$M:$M,""))</f>
        <v>608</v>
      </c>
      <c r="C10" s="4"/>
      <c r="D10" s="13" t="s">
        <v>20</v>
      </c>
      <c r="E10" s="14">
        <f t="array" ref="E10">IF($B$3="","",XLOOKUP($B$3,'Shipment Setup'!$A:$A,'Shipment Setup'!$P:$P,""))</f>
        <v>12960</v>
      </c>
      <c r="F10" s="13" t="s">
        <v>21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7" t="s">
        <v>22</v>
      </c>
      <c r="B11" s="12">
        <f t="array" ref="B11">IF($B$3="","",XLOOKUP($B$3,'Shipment Setup'!$A:$A,'Shipment Setup'!$N:$N,""))</f>
        <v>7296</v>
      </c>
      <c r="C11" s="4"/>
      <c r="D11" s="4" t="s">
        <v>23</v>
      </c>
      <c r="E11" s="10">
        <f>Settlement!B19</f>
        <v>5107.14</v>
      </c>
      <c r="F11" s="4" t="s">
        <v>24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7" t="s">
        <v>25</v>
      </c>
      <c r="B12" s="12">
        <f t="array" ref="B12">IF($B$3="","",XLOOKUP($B$3,'Shipment Setup'!$A:$A,'Shipment Setup'!$O:$O,""))</f>
        <v>12</v>
      </c>
      <c r="C12" s="4"/>
      <c r="D12" s="4" t="s">
        <v>26</v>
      </c>
      <c r="E12" s="10">
        <f>Settlement!B9</f>
        <v>556.86</v>
      </c>
      <c r="F12" s="4" t="s">
        <v>27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7" t="s">
        <v>28</v>
      </c>
      <c r="B13" s="12">
        <f t="array" ref="B13">IF($B$3="","",XLOOKUP($B$3,'Shipment Setup'!$A:$A,'Shipment Setup'!$P:$P,""))</f>
        <v>12960</v>
      </c>
      <c r="C13" s="4"/>
      <c r="D13" s="4" t="s">
        <v>29</v>
      </c>
      <c r="E13" s="10">
        <f>Settlement!B17</f>
        <v>0</v>
      </c>
      <c r="F13" s="4" t="s">
        <v>30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7" t="s">
        <v>31</v>
      </c>
      <c r="B14" s="12">
        <f>Settlement!B19</f>
        <v>5107.14</v>
      </c>
      <c r="C14" s="4"/>
      <c r="D14" s="4" t="s">
        <v>32</v>
      </c>
      <c r="E14" s="15">
        <f>Settlement!B30</f>
        <v>1080</v>
      </c>
      <c r="F14" s="4" t="s">
        <v>33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7"/>
      <c r="B15" s="12"/>
      <c r="C15" s="4"/>
      <c r="D15" s="4" t="s">
        <v>34</v>
      </c>
      <c r="E15" s="10">
        <f>Settlement!B36</f>
        <v>0</v>
      </c>
      <c r="F15" s="4" t="s">
        <v>35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7" t="s">
        <v>36</v>
      </c>
      <c r="B16" s="12">
        <f t="array" ref="B16">IF($B$3="","",XLOOKUP($B$3,'Shipment Setup'!$A:$A,'Shipment Setup'!$Q:$Q,""))</f>
        <v>501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7" t="s">
        <v>37</v>
      </c>
      <c r="B17" s="12">
        <f t="array" ref="B17">IF($B$3="","",XLOOKUP($B$3,'Shipment Setup'!$A:$A,'Shipment Setup'!$R:$R,""))</f>
        <v>6795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7" t="s">
        <v>38</v>
      </c>
      <c r="B18" s="12">
        <f>Settlement!B7</f>
        <v>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7" t="s">
        <v>39</v>
      </c>
      <c r="B19" s="12">
        <f>Settlement!B8</f>
        <v>556.86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7" t="s">
        <v>40</v>
      </c>
      <c r="B20" s="16">
        <f>Settlement!B14</f>
        <v>0.0637984123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7" t="s">
        <v>41</v>
      </c>
      <c r="B21" s="16">
        <f>Settlement!B15</f>
        <v>0.9362015877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7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7" t="s">
        <v>42</v>
      </c>
      <c r="B23" s="12">
        <f>Settlement!B24</f>
        <v>826.8274234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7" t="s">
        <v>43</v>
      </c>
      <c r="B24" s="12">
        <f>Settlement!B25</f>
        <v>12133.17258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7" t="s">
        <v>44</v>
      </c>
      <c r="B25" s="11">
        <f>Settlement!B30</f>
        <v>1080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H1"/>
  </mergeCells>
  <conditionalFormatting sqref="E15">
    <cfRule type="expression" dxfId="0" priority="1">
      <formula>ABS(E15)&lt;0.01</formula>
    </cfRule>
  </conditionalFormatting>
  <conditionalFormatting sqref="E15">
    <cfRule type="expression" dxfId="1" priority="2">
      <formula>ABS(E15)&gt;=0.01</formula>
    </cfRule>
  </conditionalFormatting>
  <dataValidations>
    <dataValidation type="list" allowBlank="1" showErrorMessage="1" sqref="B3">
      <formula1>'Shipment Setup'!$A$2:$A$51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4.0"/>
    <col customWidth="1" min="3" max="3" width="13.0"/>
    <col customWidth="1" min="4" max="4" width="12.0"/>
    <col customWidth="1" min="5" max="5" width="10.0"/>
    <col customWidth="1" min="6" max="6" width="11.0"/>
    <col customWidth="1" min="7" max="7" width="10.0"/>
    <col customWidth="1" min="8" max="8" width="11.0"/>
    <col customWidth="1" min="9" max="9" width="10.0"/>
    <col customWidth="1" min="10" max="11" width="12.0"/>
    <col customWidth="1" min="12" max="12" width="11.0"/>
    <col customWidth="1" min="13" max="13" width="12.0"/>
    <col customWidth="1" min="14" max="16" width="16.0"/>
    <col customWidth="1" min="17" max="17" width="17.0"/>
    <col customWidth="1" min="18" max="18" width="18.0"/>
    <col customWidth="1" min="19" max="19" width="35.0"/>
    <col customWidth="1" min="20" max="26" width="8.63"/>
  </cols>
  <sheetData>
    <row r="1" ht="27.75" customHeight="1">
      <c r="A1" s="17" t="s">
        <v>45</v>
      </c>
      <c r="B1" s="17" t="s">
        <v>5</v>
      </c>
      <c r="C1" s="17" t="s">
        <v>7</v>
      </c>
      <c r="D1" s="17" t="s">
        <v>46</v>
      </c>
      <c r="E1" s="17" t="s">
        <v>47</v>
      </c>
      <c r="F1" s="17" t="s">
        <v>48</v>
      </c>
      <c r="G1" s="17" t="s">
        <v>49</v>
      </c>
      <c r="H1" s="17" t="s">
        <v>50</v>
      </c>
      <c r="I1" s="17" t="s">
        <v>51</v>
      </c>
      <c r="J1" s="17" t="s">
        <v>52</v>
      </c>
      <c r="K1" s="17" t="s">
        <v>53</v>
      </c>
      <c r="L1" s="17" t="s">
        <v>16</v>
      </c>
      <c r="M1" s="17" t="s">
        <v>54</v>
      </c>
      <c r="N1" s="17" t="s">
        <v>55</v>
      </c>
      <c r="O1" s="17" t="s">
        <v>25</v>
      </c>
      <c r="P1" s="17" t="s">
        <v>28</v>
      </c>
      <c r="Q1" s="17" t="s">
        <v>36</v>
      </c>
      <c r="R1" s="17" t="s">
        <v>37</v>
      </c>
      <c r="S1" s="17" t="s">
        <v>15</v>
      </c>
      <c r="T1" s="4"/>
      <c r="U1" s="4"/>
      <c r="V1" s="4"/>
      <c r="W1" s="4"/>
      <c r="X1" s="4"/>
      <c r="Y1" s="4"/>
      <c r="Z1" s="4"/>
    </row>
    <row r="2" ht="14.25" customHeight="1">
      <c r="A2" s="18" t="s">
        <v>56</v>
      </c>
      <c r="B2" s="18" t="s">
        <v>57</v>
      </c>
      <c r="C2" s="18" t="s">
        <v>58</v>
      </c>
      <c r="D2" s="19">
        <v>2.0</v>
      </c>
      <c r="E2" s="19">
        <v>6.0</v>
      </c>
      <c r="F2" s="19">
        <v>18.0</v>
      </c>
      <c r="G2" s="19">
        <v>5.0</v>
      </c>
      <c r="H2" s="20">
        <f>F2*G2</f>
        <v>90</v>
      </c>
      <c r="I2" s="20">
        <f>E2*H2</f>
        <v>540</v>
      </c>
      <c r="J2" s="20">
        <f>D2*E2</f>
        <v>12</v>
      </c>
      <c r="K2" s="20">
        <f>J2*F2</f>
        <v>216</v>
      </c>
      <c r="L2" s="20">
        <f>D2*I2</f>
        <v>1080</v>
      </c>
      <c r="M2" s="21">
        <v>608.0</v>
      </c>
      <c r="N2" s="22">
        <f>J2*M2</f>
        <v>7296</v>
      </c>
      <c r="O2" s="21">
        <v>12.0</v>
      </c>
      <c r="P2" s="22">
        <f>L2*O2</f>
        <v>12960</v>
      </c>
      <c r="Q2" s="21">
        <v>501.0</v>
      </c>
      <c r="R2" s="22">
        <f>N2-Q2</f>
        <v>6795</v>
      </c>
      <c r="S2" s="23" t="s">
        <v>59</v>
      </c>
      <c r="T2" s="4"/>
      <c r="U2" s="4"/>
      <c r="V2" s="4"/>
      <c r="W2" s="4"/>
      <c r="X2" s="4"/>
      <c r="Y2" s="4"/>
      <c r="Z2" s="4"/>
    </row>
    <row r="3" ht="14.25" customHeight="1">
      <c r="A3" s="18" t="s">
        <v>60</v>
      </c>
      <c r="B3" s="18" t="s">
        <v>61</v>
      </c>
      <c r="C3" s="18" t="s">
        <v>62</v>
      </c>
      <c r="D3" s="19"/>
      <c r="E3" s="19"/>
      <c r="F3" s="19"/>
      <c r="G3" s="19"/>
      <c r="H3" s="20">
        <f t="shared" ref="H3:H51" si="1">IF(A3="","",F3*G3)</f>
        <v>0</v>
      </c>
      <c r="I3" s="20">
        <f t="shared" ref="I3:I51" si="2">IF(A3="","",E3*H3)</f>
        <v>0</v>
      </c>
      <c r="J3" s="20">
        <f t="shared" ref="J3:J51" si="3">IF(A3="","",D3*E3)</f>
        <v>0</v>
      </c>
      <c r="K3" s="20">
        <f t="shared" ref="K3:K51" si="4">IF(A3="","",J3*F3)</f>
        <v>0</v>
      </c>
      <c r="L3" s="20">
        <f t="shared" ref="L3:L51" si="5">IF(A3="","",D3*I3)</f>
        <v>0</v>
      </c>
      <c r="M3" s="24">
        <v>497.0</v>
      </c>
      <c r="N3" s="22">
        <f t="shared" ref="N3:N51" si="6">IF(A3="","",J3*M3)</f>
        <v>0</v>
      </c>
      <c r="O3" s="21"/>
      <c r="P3" s="22">
        <f t="shared" ref="P3:P51" si="7">IF(A3="","",L3*O3)</f>
        <v>0</v>
      </c>
      <c r="Q3" s="21"/>
      <c r="R3" s="22">
        <f t="shared" ref="R3:R51" si="8">IF(A3="","",N3-Q3)</f>
        <v>0</v>
      </c>
      <c r="S3" s="23" t="s">
        <v>63</v>
      </c>
      <c r="T3" s="4"/>
      <c r="U3" s="4"/>
      <c r="V3" s="4"/>
      <c r="W3" s="4"/>
      <c r="X3" s="4"/>
      <c r="Y3" s="4"/>
      <c r="Z3" s="4"/>
    </row>
    <row r="4" ht="14.25" customHeight="1">
      <c r="A4" s="18"/>
      <c r="B4" s="18"/>
      <c r="C4" s="18"/>
      <c r="D4" s="19"/>
      <c r="E4" s="19"/>
      <c r="F4" s="19"/>
      <c r="G4" s="19"/>
      <c r="H4" s="20" t="str">
        <f t="shared" si="1"/>
        <v/>
      </c>
      <c r="I4" s="20" t="str">
        <f t="shared" si="2"/>
        <v/>
      </c>
      <c r="J4" s="20" t="str">
        <f t="shared" si="3"/>
        <v/>
      </c>
      <c r="K4" s="20" t="str">
        <f t="shared" si="4"/>
        <v/>
      </c>
      <c r="L4" s="20" t="str">
        <f t="shared" si="5"/>
        <v/>
      </c>
      <c r="M4" s="21"/>
      <c r="N4" s="22" t="str">
        <f t="shared" si="6"/>
        <v/>
      </c>
      <c r="O4" s="21"/>
      <c r="P4" s="22" t="str">
        <f t="shared" si="7"/>
        <v/>
      </c>
      <c r="Q4" s="21"/>
      <c r="R4" s="22" t="str">
        <f t="shared" si="8"/>
        <v/>
      </c>
      <c r="S4" s="23"/>
      <c r="T4" s="4"/>
      <c r="U4" s="4"/>
      <c r="V4" s="4"/>
      <c r="W4" s="4"/>
      <c r="X4" s="4"/>
      <c r="Y4" s="4"/>
      <c r="Z4" s="4"/>
    </row>
    <row r="5" ht="14.25" customHeight="1">
      <c r="A5" s="18"/>
      <c r="B5" s="18"/>
      <c r="C5" s="18"/>
      <c r="D5" s="19"/>
      <c r="E5" s="19"/>
      <c r="F5" s="19"/>
      <c r="G5" s="19"/>
      <c r="H5" s="20" t="str">
        <f t="shared" si="1"/>
        <v/>
      </c>
      <c r="I5" s="20" t="str">
        <f t="shared" si="2"/>
        <v/>
      </c>
      <c r="J5" s="20" t="str">
        <f t="shared" si="3"/>
        <v/>
      </c>
      <c r="K5" s="20" t="str">
        <f t="shared" si="4"/>
        <v/>
      </c>
      <c r="L5" s="20" t="str">
        <f t="shared" si="5"/>
        <v/>
      </c>
      <c r="M5" s="21"/>
      <c r="N5" s="22" t="str">
        <f t="shared" si="6"/>
        <v/>
      </c>
      <c r="O5" s="21"/>
      <c r="P5" s="22" t="str">
        <f t="shared" si="7"/>
        <v/>
      </c>
      <c r="Q5" s="21"/>
      <c r="R5" s="22" t="str">
        <f t="shared" si="8"/>
        <v/>
      </c>
      <c r="S5" s="23"/>
      <c r="T5" s="4"/>
      <c r="U5" s="4"/>
      <c r="V5" s="4"/>
      <c r="W5" s="4"/>
      <c r="X5" s="4"/>
      <c r="Y5" s="4"/>
      <c r="Z5" s="4"/>
    </row>
    <row r="6" ht="14.25" customHeight="1">
      <c r="A6" s="18"/>
      <c r="B6" s="18"/>
      <c r="C6" s="18"/>
      <c r="D6" s="19"/>
      <c r="E6" s="19"/>
      <c r="F6" s="19"/>
      <c r="G6" s="19"/>
      <c r="H6" s="20" t="str">
        <f t="shared" si="1"/>
        <v/>
      </c>
      <c r="I6" s="20" t="str">
        <f t="shared" si="2"/>
        <v/>
      </c>
      <c r="J6" s="20" t="str">
        <f t="shared" si="3"/>
        <v/>
      </c>
      <c r="K6" s="20" t="str">
        <f t="shared" si="4"/>
        <v/>
      </c>
      <c r="L6" s="20" t="str">
        <f t="shared" si="5"/>
        <v/>
      </c>
      <c r="M6" s="21"/>
      <c r="N6" s="22" t="str">
        <f t="shared" si="6"/>
        <v/>
      </c>
      <c r="O6" s="21"/>
      <c r="P6" s="22" t="str">
        <f t="shared" si="7"/>
        <v/>
      </c>
      <c r="Q6" s="21"/>
      <c r="R6" s="22" t="str">
        <f t="shared" si="8"/>
        <v/>
      </c>
      <c r="S6" s="23"/>
      <c r="T6" s="4"/>
      <c r="U6" s="4"/>
      <c r="V6" s="4"/>
      <c r="W6" s="4"/>
      <c r="X6" s="4"/>
      <c r="Y6" s="4"/>
      <c r="Z6" s="4"/>
    </row>
    <row r="7" ht="14.25" customHeight="1">
      <c r="A7" s="18"/>
      <c r="B7" s="18"/>
      <c r="C7" s="18"/>
      <c r="D7" s="19"/>
      <c r="E7" s="19"/>
      <c r="F7" s="19"/>
      <c r="G7" s="19"/>
      <c r="H7" s="20" t="str">
        <f t="shared" si="1"/>
        <v/>
      </c>
      <c r="I7" s="20" t="str">
        <f t="shared" si="2"/>
        <v/>
      </c>
      <c r="J7" s="20" t="str">
        <f t="shared" si="3"/>
        <v/>
      </c>
      <c r="K7" s="20" t="str">
        <f t="shared" si="4"/>
        <v/>
      </c>
      <c r="L7" s="20" t="str">
        <f t="shared" si="5"/>
        <v/>
      </c>
      <c r="M7" s="21"/>
      <c r="N7" s="22" t="str">
        <f t="shared" si="6"/>
        <v/>
      </c>
      <c r="O7" s="21"/>
      <c r="P7" s="22" t="str">
        <f t="shared" si="7"/>
        <v/>
      </c>
      <c r="Q7" s="21"/>
      <c r="R7" s="22" t="str">
        <f t="shared" si="8"/>
        <v/>
      </c>
      <c r="S7" s="23"/>
      <c r="T7" s="4"/>
      <c r="U7" s="4"/>
      <c r="V7" s="4"/>
      <c r="W7" s="4"/>
      <c r="X7" s="4"/>
      <c r="Y7" s="4"/>
      <c r="Z7" s="4"/>
    </row>
    <row r="8" ht="14.25" customHeight="1">
      <c r="A8" s="18"/>
      <c r="B8" s="18"/>
      <c r="C8" s="18"/>
      <c r="D8" s="19"/>
      <c r="E8" s="19"/>
      <c r="F8" s="19"/>
      <c r="G8" s="19"/>
      <c r="H8" s="20" t="str">
        <f t="shared" si="1"/>
        <v/>
      </c>
      <c r="I8" s="20" t="str">
        <f t="shared" si="2"/>
        <v/>
      </c>
      <c r="J8" s="20" t="str">
        <f t="shared" si="3"/>
        <v/>
      </c>
      <c r="K8" s="20" t="str">
        <f t="shared" si="4"/>
        <v/>
      </c>
      <c r="L8" s="20" t="str">
        <f t="shared" si="5"/>
        <v/>
      </c>
      <c r="M8" s="21"/>
      <c r="N8" s="22" t="str">
        <f t="shared" si="6"/>
        <v/>
      </c>
      <c r="O8" s="21"/>
      <c r="P8" s="22" t="str">
        <f t="shared" si="7"/>
        <v/>
      </c>
      <c r="Q8" s="21"/>
      <c r="R8" s="22" t="str">
        <f t="shared" si="8"/>
        <v/>
      </c>
      <c r="S8" s="23"/>
      <c r="T8" s="4"/>
      <c r="U8" s="4"/>
      <c r="V8" s="4"/>
      <c r="W8" s="4"/>
      <c r="X8" s="4"/>
      <c r="Y8" s="4"/>
      <c r="Z8" s="4"/>
    </row>
    <row r="9" ht="14.25" customHeight="1">
      <c r="A9" s="18"/>
      <c r="B9" s="18"/>
      <c r="C9" s="18"/>
      <c r="D9" s="19"/>
      <c r="E9" s="19"/>
      <c r="F9" s="19"/>
      <c r="G9" s="19"/>
      <c r="H9" s="20" t="str">
        <f t="shared" si="1"/>
        <v/>
      </c>
      <c r="I9" s="20" t="str">
        <f t="shared" si="2"/>
        <v/>
      </c>
      <c r="J9" s="20" t="str">
        <f t="shared" si="3"/>
        <v/>
      </c>
      <c r="K9" s="20" t="str">
        <f t="shared" si="4"/>
        <v/>
      </c>
      <c r="L9" s="20" t="str">
        <f t="shared" si="5"/>
        <v/>
      </c>
      <c r="M9" s="21"/>
      <c r="N9" s="22" t="str">
        <f t="shared" si="6"/>
        <v/>
      </c>
      <c r="O9" s="21"/>
      <c r="P9" s="22" t="str">
        <f t="shared" si="7"/>
        <v/>
      </c>
      <c r="Q9" s="21"/>
      <c r="R9" s="22" t="str">
        <f t="shared" si="8"/>
        <v/>
      </c>
      <c r="S9" s="23"/>
      <c r="T9" s="4"/>
      <c r="U9" s="4"/>
      <c r="V9" s="4"/>
      <c r="W9" s="4"/>
      <c r="X9" s="4"/>
      <c r="Y9" s="4"/>
      <c r="Z9" s="4"/>
    </row>
    <row r="10" ht="14.25" customHeight="1">
      <c r="A10" s="18"/>
      <c r="B10" s="18"/>
      <c r="C10" s="18"/>
      <c r="D10" s="19"/>
      <c r="E10" s="19"/>
      <c r="F10" s="19"/>
      <c r="G10" s="19"/>
      <c r="H10" s="20" t="str">
        <f t="shared" si="1"/>
        <v/>
      </c>
      <c r="I10" s="20" t="str">
        <f t="shared" si="2"/>
        <v/>
      </c>
      <c r="J10" s="20" t="str">
        <f t="shared" si="3"/>
        <v/>
      </c>
      <c r="K10" s="20" t="str">
        <f t="shared" si="4"/>
        <v/>
      </c>
      <c r="L10" s="20" t="str">
        <f t="shared" si="5"/>
        <v/>
      </c>
      <c r="M10" s="21"/>
      <c r="N10" s="22" t="str">
        <f t="shared" si="6"/>
        <v/>
      </c>
      <c r="O10" s="21"/>
      <c r="P10" s="22" t="str">
        <f t="shared" si="7"/>
        <v/>
      </c>
      <c r="Q10" s="21"/>
      <c r="R10" s="22" t="str">
        <f t="shared" si="8"/>
        <v/>
      </c>
      <c r="S10" s="23"/>
      <c r="T10" s="4"/>
      <c r="U10" s="4"/>
      <c r="V10" s="4"/>
      <c r="W10" s="4"/>
      <c r="X10" s="4"/>
      <c r="Y10" s="4"/>
      <c r="Z10" s="4"/>
    </row>
    <row r="11" ht="14.25" customHeight="1">
      <c r="A11" s="18"/>
      <c r="B11" s="18"/>
      <c r="C11" s="18"/>
      <c r="D11" s="19"/>
      <c r="E11" s="19"/>
      <c r="F11" s="19"/>
      <c r="G11" s="19"/>
      <c r="H11" s="20" t="str">
        <f t="shared" si="1"/>
        <v/>
      </c>
      <c r="I11" s="20" t="str">
        <f t="shared" si="2"/>
        <v/>
      </c>
      <c r="J11" s="20" t="str">
        <f t="shared" si="3"/>
        <v/>
      </c>
      <c r="K11" s="20" t="str">
        <f t="shared" si="4"/>
        <v/>
      </c>
      <c r="L11" s="20" t="str">
        <f t="shared" si="5"/>
        <v/>
      </c>
      <c r="M11" s="21"/>
      <c r="N11" s="22" t="str">
        <f t="shared" si="6"/>
        <v/>
      </c>
      <c r="O11" s="21"/>
      <c r="P11" s="22" t="str">
        <f t="shared" si="7"/>
        <v/>
      </c>
      <c r="Q11" s="21"/>
      <c r="R11" s="22" t="str">
        <f t="shared" si="8"/>
        <v/>
      </c>
      <c r="S11" s="23"/>
      <c r="T11" s="4"/>
      <c r="U11" s="4"/>
      <c r="V11" s="4"/>
      <c r="W11" s="4"/>
      <c r="X11" s="4"/>
      <c r="Y11" s="4"/>
      <c r="Z11" s="4"/>
    </row>
    <row r="12" ht="14.25" customHeight="1">
      <c r="A12" s="18"/>
      <c r="B12" s="18"/>
      <c r="C12" s="18"/>
      <c r="D12" s="19"/>
      <c r="E12" s="19"/>
      <c r="F12" s="19"/>
      <c r="G12" s="19"/>
      <c r="H12" s="20" t="str">
        <f t="shared" si="1"/>
        <v/>
      </c>
      <c r="I12" s="20" t="str">
        <f t="shared" si="2"/>
        <v/>
      </c>
      <c r="J12" s="20" t="str">
        <f t="shared" si="3"/>
        <v/>
      </c>
      <c r="K12" s="20" t="str">
        <f t="shared" si="4"/>
        <v/>
      </c>
      <c r="L12" s="20" t="str">
        <f t="shared" si="5"/>
        <v/>
      </c>
      <c r="M12" s="21"/>
      <c r="N12" s="22" t="str">
        <f t="shared" si="6"/>
        <v/>
      </c>
      <c r="O12" s="21"/>
      <c r="P12" s="22" t="str">
        <f t="shared" si="7"/>
        <v/>
      </c>
      <c r="Q12" s="21"/>
      <c r="R12" s="22" t="str">
        <f t="shared" si="8"/>
        <v/>
      </c>
      <c r="S12" s="23"/>
      <c r="T12" s="4"/>
      <c r="U12" s="4"/>
      <c r="V12" s="4"/>
      <c r="W12" s="4"/>
      <c r="X12" s="4"/>
      <c r="Y12" s="4"/>
      <c r="Z12" s="4"/>
    </row>
    <row r="13" ht="14.25" customHeight="1">
      <c r="A13" s="18"/>
      <c r="B13" s="18"/>
      <c r="C13" s="18"/>
      <c r="D13" s="19"/>
      <c r="E13" s="19"/>
      <c r="F13" s="19"/>
      <c r="G13" s="19"/>
      <c r="H13" s="20" t="str">
        <f t="shared" si="1"/>
        <v/>
      </c>
      <c r="I13" s="20" t="str">
        <f t="shared" si="2"/>
        <v/>
      </c>
      <c r="J13" s="20" t="str">
        <f t="shared" si="3"/>
        <v/>
      </c>
      <c r="K13" s="20" t="str">
        <f t="shared" si="4"/>
        <v/>
      </c>
      <c r="L13" s="20" t="str">
        <f t="shared" si="5"/>
        <v/>
      </c>
      <c r="M13" s="21"/>
      <c r="N13" s="22" t="str">
        <f t="shared" si="6"/>
        <v/>
      </c>
      <c r="O13" s="21"/>
      <c r="P13" s="22" t="str">
        <f t="shared" si="7"/>
        <v/>
      </c>
      <c r="Q13" s="21"/>
      <c r="R13" s="22" t="str">
        <f t="shared" si="8"/>
        <v/>
      </c>
      <c r="S13" s="23"/>
      <c r="T13" s="4"/>
      <c r="U13" s="4"/>
      <c r="V13" s="4"/>
      <c r="W13" s="4"/>
      <c r="X13" s="4"/>
      <c r="Y13" s="4"/>
      <c r="Z13" s="4"/>
    </row>
    <row r="14" ht="14.25" customHeight="1">
      <c r="A14" s="18"/>
      <c r="B14" s="18"/>
      <c r="C14" s="18"/>
      <c r="D14" s="19"/>
      <c r="E14" s="19"/>
      <c r="F14" s="19"/>
      <c r="G14" s="19"/>
      <c r="H14" s="20" t="str">
        <f t="shared" si="1"/>
        <v/>
      </c>
      <c r="I14" s="20" t="str">
        <f t="shared" si="2"/>
        <v/>
      </c>
      <c r="J14" s="20" t="str">
        <f t="shared" si="3"/>
        <v/>
      </c>
      <c r="K14" s="20" t="str">
        <f t="shared" si="4"/>
        <v/>
      </c>
      <c r="L14" s="20" t="str">
        <f t="shared" si="5"/>
        <v/>
      </c>
      <c r="M14" s="21"/>
      <c r="N14" s="22" t="str">
        <f t="shared" si="6"/>
        <v/>
      </c>
      <c r="O14" s="21"/>
      <c r="P14" s="22" t="str">
        <f t="shared" si="7"/>
        <v/>
      </c>
      <c r="Q14" s="21"/>
      <c r="R14" s="22" t="str">
        <f t="shared" si="8"/>
        <v/>
      </c>
      <c r="S14" s="23"/>
      <c r="T14" s="4"/>
      <c r="U14" s="4"/>
      <c r="V14" s="4"/>
      <c r="W14" s="4"/>
      <c r="X14" s="4"/>
      <c r="Y14" s="4"/>
      <c r="Z14" s="4"/>
    </row>
    <row r="15" ht="14.25" customHeight="1">
      <c r="A15" s="18"/>
      <c r="B15" s="18"/>
      <c r="C15" s="18"/>
      <c r="D15" s="19"/>
      <c r="E15" s="19"/>
      <c r="F15" s="19"/>
      <c r="G15" s="19"/>
      <c r="H15" s="20" t="str">
        <f t="shared" si="1"/>
        <v/>
      </c>
      <c r="I15" s="20" t="str">
        <f t="shared" si="2"/>
        <v/>
      </c>
      <c r="J15" s="20" t="str">
        <f t="shared" si="3"/>
        <v/>
      </c>
      <c r="K15" s="20" t="str">
        <f t="shared" si="4"/>
        <v/>
      </c>
      <c r="L15" s="20" t="str">
        <f t="shared" si="5"/>
        <v/>
      </c>
      <c r="M15" s="21"/>
      <c r="N15" s="22" t="str">
        <f t="shared" si="6"/>
        <v/>
      </c>
      <c r="O15" s="21"/>
      <c r="P15" s="22" t="str">
        <f t="shared" si="7"/>
        <v/>
      </c>
      <c r="Q15" s="21"/>
      <c r="R15" s="22" t="str">
        <f t="shared" si="8"/>
        <v/>
      </c>
      <c r="S15" s="23"/>
      <c r="T15" s="4"/>
      <c r="U15" s="4"/>
      <c r="V15" s="4"/>
      <c r="W15" s="4"/>
      <c r="X15" s="4"/>
      <c r="Y15" s="4"/>
      <c r="Z15" s="4"/>
    </row>
    <row r="16" ht="14.25" customHeight="1">
      <c r="A16" s="18"/>
      <c r="B16" s="18"/>
      <c r="C16" s="18"/>
      <c r="D16" s="19"/>
      <c r="E16" s="19"/>
      <c r="F16" s="19"/>
      <c r="G16" s="19"/>
      <c r="H16" s="20" t="str">
        <f t="shared" si="1"/>
        <v/>
      </c>
      <c r="I16" s="20" t="str">
        <f t="shared" si="2"/>
        <v/>
      </c>
      <c r="J16" s="20" t="str">
        <f t="shared" si="3"/>
        <v/>
      </c>
      <c r="K16" s="20" t="str">
        <f t="shared" si="4"/>
        <v/>
      </c>
      <c r="L16" s="20" t="str">
        <f t="shared" si="5"/>
        <v/>
      </c>
      <c r="M16" s="21"/>
      <c r="N16" s="22" t="str">
        <f t="shared" si="6"/>
        <v/>
      </c>
      <c r="O16" s="21"/>
      <c r="P16" s="22" t="str">
        <f t="shared" si="7"/>
        <v/>
      </c>
      <c r="Q16" s="21"/>
      <c r="R16" s="22" t="str">
        <f t="shared" si="8"/>
        <v/>
      </c>
      <c r="S16" s="23"/>
      <c r="T16" s="4"/>
      <c r="U16" s="4"/>
      <c r="V16" s="4"/>
      <c r="W16" s="4"/>
      <c r="X16" s="4"/>
      <c r="Y16" s="4"/>
      <c r="Z16" s="4"/>
    </row>
    <row r="17" ht="14.25" customHeight="1">
      <c r="A17" s="18"/>
      <c r="B17" s="18"/>
      <c r="C17" s="18"/>
      <c r="D17" s="19"/>
      <c r="E17" s="19"/>
      <c r="F17" s="19"/>
      <c r="G17" s="19"/>
      <c r="H17" s="20" t="str">
        <f t="shared" si="1"/>
        <v/>
      </c>
      <c r="I17" s="20" t="str">
        <f t="shared" si="2"/>
        <v/>
      </c>
      <c r="J17" s="20" t="str">
        <f t="shared" si="3"/>
        <v/>
      </c>
      <c r="K17" s="20" t="str">
        <f t="shared" si="4"/>
        <v/>
      </c>
      <c r="L17" s="20" t="str">
        <f t="shared" si="5"/>
        <v/>
      </c>
      <c r="M17" s="21"/>
      <c r="N17" s="22" t="str">
        <f t="shared" si="6"/>
        <v/>
      </c>
      <c r="O17" s="21"/>
      <c r="P17" s="22" t="str">
        <f t="shared" si="7"/>
        <v/>
      </c>
      <c r="Q17" s="21"/>
      <c r="R17" s="22" t="str">
        <f t="shared" si="8"/>
        <v/>
      </c>
      <c r="S17" s="23"/>
      <c r="T17" s="4"/>
      <c r="U17" s="4"/>
      <c r="V17" s="4"/>
      <c r="W17" s="4"/>
      <c r="X17" s="4"/>
      <c r="Y17" s="4"/>
      <c r="Z17" s="4"/>
    </row>
    <row r="18" ht="14.25" customHeight="1">
      <c r="A18" s="18"/>
      <c r="B18" s="18"/>
      <c r="C18" s="18"/>
      <c r="D18" s="19"/>
      <c r="E18" s="19"/>
      <c r="F18" s="19"/>
      <c r="G18" s="19"/>
      <c r="H18" s="20" t="str">
        <f t="shared" si="1"/>
        <v/>
      </c>
      <c r="I18" s="20" t="str">
        <f t="shared" si="2"/>
        <v/>
      </c>
      <c r="J18" s="20" t="str">
        <f t="shared" si="3"/>
        <v/>
      </c>
      <c r="K18" s="20" t="str">
        <f t="shared" si="4"/>
        <v/>
      </c>
      <c r="L18" s="20" t="str">
        <f t="shared" si="5"/>
        <v/>
      </c>
      <c r="M18" s="21"/>
      <c r="N18" s="22" t="str">
        <f t="shared" si="6"/>
        <v/>
      </c>
      <c r="O18" s="21"/>
      <c r="P18" s="22" t="str">
        <f t="shared" si="7"/>
        <v/>
      </c>
      <c r="Q18" s="21"/>
      <c r="R18" s="22" t="str">
        <f t="shared" si="8"/>
        <v/>
      </c>
      <c r="S18" s="23"/>
      <c r="T18" s="4"/>
      <c r="U18" s="4"/>
      <c r="V18" s="4"/>
      <c r="W18" s="4"/>
      <c r="X18" s="4"/>
      <c r="Y18" s="4"/>
      <c r="Z18" s="4"/>
    </row>
    <row r="19" ht="14.25" customHeight="1">
      <c r="A19" s="18"/>
      <c r="B19" s="18"/>
      <c r="C19" s="18"/>
      <c r="D19" s="19"/>
      <c r="E19" s="19"/>
      <c r="F19" s="19"/>
      <c r="G19" s="19"/>
      <c r="H19" s="20" t="str">
        <f t="shared" si="1"/>
        <v/>
      </c>
      <c r="I19" s="20" t="str">
        <f t="shared" si="2"/>
        <v/>
      </c>
      <c r="J19" s="20" t="str">
        <f t="shared" si="3"/>
        <v/>
      </c>
      <c r="K19" s="20" t="str">
        <f t="shared" si="4"/>
        <v/>
      </c>
      <c r="L19" s="20" t="str">
        <f t="shared" si="5"/>
        <v/>
      </c>
      <c r="M19" s="21"/>
      <c r="N19" s="22" t="str">
        <f t="shared" si="6"/>
        <v/>
      </c>
      <c r="O19" s="21"/>
      <c r="P19" s="22" t="str">
        <f t="shared" si="7"/>
        <v/>
      </c>
      <c r="Q19" s="21"/>
      <c r="R19" s="22" t="str">
        <f t="shared" si="8"/>
        <v/>
      </c>
      <c r="S19" s="23"/>
      <c r="T19" s="4"/>
      <c r="U19" s="4"/>
      <c r="V19" s="4"/>
      <c r="W19" s="4"/>
      <c r="X19" s="4"/>
      <c r="Y19" s="4"/>
      <c r="Z19" s="4"/>
    </row>
    <row r="20" ht="14.25" customHeight="1">
      <c r="A20" s="18"/>
      <c r="B20" s="18"/>
      <c r="C20" s="18"/>
      <c r="D20" s="19"/>
      <c r="E20" s="19"/>
      <c r="F20" s="19"/>
      <c r="G20" s="19"/>
      <c r="H20" s="20" t="str">
        <f t="shared" si="1"/>
        <v/>
      </c>
      <c r="I20" s="20" t="str">
        <f t="shared" si="2"/>
        <v/>
      </c>
      <c r="J20" s="20" t="str">
        <f t="shared" si="3"/>
        <v/>
      </c>
      <c r="K20" s="20" t="str">
        <f t="shared" si="4"/>
        <v/>
      </c>
      <c r="L20" s="20" t="str">
        <f t="shared" si="5"/>
        <v/>
      </c>
      <c r="M20" s="21"/>
      <c r="N20" s="22" t="str">
        <f t="shared" si="6"/>
        <v/>
      </c>
      <c r="O20" s="21"/>
      <c r="P20" s="22" t="str">
        <f t="shared" si="7"/>
        <v/>
      </c>
      <c r="Q20" s="21"/>
      <c r="R20" s="22" t="str">
        <f t="shared" si="8"/>
        <v/>
      </c>
      <c r="S20" s="23"/>
      <c r="T20" s="4"/>
      <c r="U20" s="4"/>
      <c r="V20" s="4"/>
      <c r="W20" s="4"/>
      <c r="X20" s="4"/>
      <c r="Y20" s="4"/>
      <c r="Z20" s="4"/>
    </row>
    <row r="21" ht="14.25" customHeight="1">
      <c r="A21" s="18"/>
      <c r="B21" s="18"/>
      <c r="C21" s="18"/>
      <c r="D21" s="19"/>
      <c r="E21" s="19"/>
      <c r="F21" s="19"/>
      <c r="G21" s="19"/>
      <c r="H21" s="20" t="str">
        <f t="shared" si="1"/>
        <v/>
      </c>
      <c r="I21" s="20" t="str">
        <f t="shared" si="2"/>
        <v/>
      </c>
      <c r="J21" s="20" t="str">
        <f t="shared" si="3"/>
        <v/>
      </c>
      <c r="K21" s="20" t="str">
        <f t="shared" si="4"/>
        <v/>
      </c>
      <c r="L21" s="20" t="str">
        <f t="shared" si="5"/>
        <v/>
      </c>
      <c r="M21" s="21"/>
      <c r="N21" s="22" t="str">
        <f t="shared" si="6"/>
        <v/>
      </c>
      <c r="O21" s="21"/>
      <c r="P21" s="22" t="str">
        <f t="shared" si="7"/>
        <v/>
      </c>
      <c r="Q21" s="21"/>
      <c r="R21" s="22" t="str">
        <f t="shared" si="8"/>
        <v/>
      </c>
      <c r="S21" s="23"/>
      <c r="T21" s="4"/>
      <c r="U21" s="4"/>
      <c r="V21" s="4"/>
      <c r="W21" s="4"/>
      <c r="X21" s="4"/>
      <c r="Y21" s="4"/>
      <c r="Z21" s="4"/>
    </row>
    <row r="22" ht="14.25" customHeight="1">
      <c r="A22" s="18"/>
      <c r="B22" s="18"/>
      <c r="C22" s="18"/>
      <c r="D22" s="19"/>
      <c r="E22" s="19"/>
      <c r="F22" s="19"/>
      <c r="G22" s="19"/>
      <c r="H22" s="20" t="str">
        <f t="shared" si="1"/>
        <v/>
      </c>
      <c r="I22" s="20" t="str">
        <f t="shared" si="2"/>
        <v/>
      </c>
      <c r="J22" s="20" t="str">
        <f t="shared" si="3"/>
        <v/>
      </c>
      <c r="K22" s="20" t="str">
        <f t="shared" si="4"/>
        <v/>
      </c>
      <c r="L22" s="20" t="str">
        <f t="shared" si="5"/>
        <v/>
      </c>
      <c r="M22" s="21"/>
      <c r="N22" s="22" t="str">
        <f t="shared" si="6"/>
        <v/>
      </c>
      <c r="O22" s="21"/>
      <c r="P22" s="22" t="str">
        <f t="shared" si="7"/>
        <v/>
      </c>
      <c r="Q22" s="21"/>
      <c r="R22" s="22" t="str">
        <f t="shared" si="8"/>
        <v/>
      </c>
      <c r="S22" s="23"/>
      <c r="T22" s="4"/>
      <c r="U22" s="4"/>
      <c r="V22" s="4"/>
      <c r="W22" s="4"/>
      <c r="X22" s="4"/>
      <c r="Y22" s="4"/>
      <c r="Z22" s="4"/>
    </row>
    <row r="23" ht="14.25" customHeight="1">
      <c r="A23" s="18"/>
      <c r="B23" s="18"/>
      <c r="C23" s="18"/>
      <c r="D23" s="19"/>
      <c r="E23" s="19"/>
      <c r="F23" s="19"/>
      <c r="G23" s="19"/>
      <c r="H23" s="20" t="str">
        <f t="shared" si="1"/>
        <v/>
      </c>
      <c r="I23" s="20" t="str">
        <f t="shared" si="2"/>
        <v/>
      </c>
      <c r="J23" s="20" t="str">
        <f t="shared" si="3"/>
        <v/>
      </c>
      <c r="K23" s="20" t="str">
        <f t="shared" si="4"/>
        <v/>
      </c>
      <c r="L23" s="20" t="str">
        <f t="shared" si="5"/>
        <v/>
      </c>
      <c r="M23" s="21"/>
      <c r="N23" s="22" t="str">
        <f t="shared" si="6"/>
        <v/>
      </c>
      <c r="O23" s="21"/>
      <c r="P23" s="22" t="str">
        <f t="shared" si="7"/>
        <v/>
      </c>
      <c r="Q23" s="21"/>
      <c r="R23" s="22" t="str">
        <f t="shared" si="8"/>
        <v/>
      </c>
      <c r="S23" s="23"/>
      <c r="T23" s="4"/>
      <c r="U23" s="4"/>
      <c r="V23" s="4"/>
      <c r="W23" s="4"/>
      <c r="X23" s="4"/>
      <c r="Y23" s="4"/>
      <c r="Z23" s="4"/>
    </row>
    <row r="24" ht="14.25" customHeight="1">
      <c r="A24" s="18"/>
      <c r="B24" s="18"/>
      <c r="C24" s="18"/>
      <c r="D24" s="19"/>
      <c r="E24" s="19"/>
      <c r="F24" s="19"/>
      <c r="G24" s="19"/>
      <c r="H24" s="20" t="str">
        <f t="shared" si="1"/>
        <v/>
      </c>
      <c r="I24" s="20" t="str">
        <f t="shared" si="2"/>
        <v/>
      </c>
      <c r="J24" s="20" t="str">
        <f t="shared" si="3"/>
        <v/>
      </c>
      <c r="K24" s="20" t="str">
        <f t="shared" si="4"/>
        <v/>
      </c>
      <c r="L24" s="20" t="str">
        <f t="shared" si="5"/>
        <v/>
      </c>
      <c r="M24" s="21"/>
      <c r="N24" s="22" t="str">
        <f t="shared" si="6"/>
        <v/>
      </c>
      <c r="O24" s="21"/>
      <c r="P24" s="22" t="str">
        <f t="shared" si="7"/>
        <v/>
      </c>
      <c r="Q24" s="21"/>
      <c r="R24" s="22" t="str">
        <f t="shared" si="8"/>
        <v/>
      </c>
      <c r="S24" s="23"/>
      <c r="T24" s="4"/>
      <c r="U24" s="4"/>
      <c r="V24" s="4"/>
      <c r="W24" s="4"/>
      <c r="X24" s="4"/>
      <c r="Y24" s="4"/>
      <c r="Z24" s="4"/>
    </row>
    <row r="25" ht="14.25" customHeight="1">
      <c r="A25" s="18"/>
      <c r="B25" s="18"/>
      <c r="C25" s="18"/>
      <c r="D25" s="19"/>
      <c r="E25" s="19"/>
      <c r="F25" s="19"/>
      <c r="G25" s="19"/>
      <c r="H25" s="20" t="str">
        <f t="shared" si="1"/>
        <v/>
      </c>
      <c r="I25" s="20" t="str">
        <f t="shared" si="2"/>
        <v/>
      </c>
      <c r="J25" s="20" t="str">
        <f t="shared" si="3"/>
        <v/>
      </c>
      <c r="K25" s="20" t="str">
        <f t="shared" si="4"/>
        <v/>
      </c>
      <c r="L25" s="20" t="str">
        <f t="shared" si="5"/>
        <v/>
      </c>
      <c r="M25" s="21"/>
      <c r="N25" s="22" t="str">
        <f t="shared" si="6"/>
        <v/>
      </c>
      <c r="O25" s="21"/>
      <c r="P25" s="22" t="str">
        <f t="shared" si="7"/>
        <v/>
      </c>
      <c r="Q25" s="21"/>
      <c r="R25" s="22" t="str">
        <f t="shared" si="8"/>
        <v/>
      </c>
      <c r="S25" s="23"/>
      <c r="T25" s="4"/>
      <c r="U25" s="4"/>
      <c r="V25" s="4"/>
      <c r="W25" s="4"/>
      <c r="X25" s="4"/>
      <c r="Y25" s="4"/>
      <c r="Z25" s="4"/>
    </row>
    <row r="26" ht="14.25" customHeight="1">
      <c r="A26" s="18"/>
      <c r="B26" s="18"/>
      <c r="C26" s="18"/>
      <c r="D26" s="19"/>
      <c r="E26" s="19"/>
      <c r="F26" s="19"/>
      <c r="G26" s="19"/>
      <c r="H26" s="20" t="str">
        <f t="shared" si="1"/>
        <v/>
      </c>
      <c r="I26" s="20" t="str">
        <f t="shared" si="2"/>
        <v/>
      </c>
      <c r="J26" s="20" t="str">
        <f t="shared" si="3"/>
        <v/>
      </c>
      <c r="K26" s="20" t="str">
        <f t="shared" si="4"/>
        <v/>
      </c>
      <c r="L26" s="20" t="str">
        <f t="shared" si="5"/>
        <v/>
      </c>
      <c r="M26" s="21"/>
      <c r="N26" s="22" t="str">
        <f t="shared" si="6"/>
        <v/>
      </c>
      <c r="O26" s="21"/>
      <c r="P26" s="22" t="str">
        <f t="shared" si="7"/>
        <v/>
      </c>
      <c r="Q26" s="21"/>
      <c r="R26" s="22" t="str">
        <f t="shared" si="8"/>
        <v/>
      </c>
      <c r="S26" s="23"/>
      <c r="T26" s="4"/>
      <c r="U26" s="4"/>
      <c r="V26" s="4"/>
      <c r="W26" s="4"/>
      <c r="X26" s="4"/>
      <c r="Y26" s="4"/>
      <c r="Z26" s="4"/>
    </row>
    <row r="27" ht="14.25" customHeight="1">
      <c r="A27" s="18"/>
      <c r="B27" s="18"/>
      <c r="C27" s="18"/>
      <c r="D27" s="19"/>
      <c r="E27" s="19"/>
      <c r="F27" s="19"/>
      <c r="G27" s="19"/>
      <c r="H27" s="20" t="str">
        <f t="shared" si="1"/>
        <v/>
      </c>
      <c r="I27" s="20" t="str">
        <f t="shared" si="2"/>
        <v/>
      </c>
      <c r="J27" s="20" t="str">
        <f t="shared" si="3"/>
        <v/>
      </c>
      <c r="K27" s="20" t="str">
        <f t="shared" si="4"/>
        <v/>
      </c>
      <c r="L27" s="20" t="str">
        <f t="shared" si="5"/>
        <v/>
      </c>
      <c r="M27" s="21"/>
      <c r="N27" s="22" t="str">
        <f t="shared" si="6"/>
        <v/>
      </c>
      <c r="O27" s="21"/>
      <c r="P27" s="22" t="str">
        <f t="shared" si="7"/>
        <v/>
      </c>
      <c r="Q27" s="21"/>
      <c r="R27" s="22" t="str">
        <f t="shared" si="8"/>
        <v/>
      </c>
      <c r="S27" s="23"/>
      <c r="T27" s="4"/>
      <c r="U27" s="4"/>
      <c r="V27" s="4"/>
      <c r="W27" s="4"/>
      <c r="X27" s="4"/>
      <c r="Y27" s="4"/>
      <c r="Z27" s="4"/>
    </row>
    <row r="28" ht="14.25" customHeight="1">
      <c r="A28" s="18"/>
      <c r="B28" s="18"/>
      <c r="C28" s="18"/>
      <c r="D28" s="19"/>
      <c r="E28" s="19"/>
      <c r="F28" s="19"/>
      <c r="G28" s="19"/>
      <c r="H28" s="20" t="str">
        <f t="shared" si="1"/>
        <v/>
      </c>
      <c r="I28" s="20" t="str">
        <f t="shared" si="2"/>
        <v/>
      </c>
      <c r="J28" s="20" t="str">
        <f t="shared" si="3"/>
        <v/>
      </c>
      <c r="K28" s="20" t="str">
        <f t="shared" si="4"/>
        <v/>
      </c>
      <c r="L28" s="20" t="str">
        <f t="shared" si="5"/>
        <v/>
      </c>
      <c r="M28" s="21"/>
      <c r="N28" s="22" t="str">
        <f t="shared" si="6"/>
        <v/>
      </c>
      <c r="O28" s="21"/>
      <c r="P28" s="22" t="str">
        <f t="shared" si="7"/>
        <v/>
      </c>
      <c r="Q28" s="21"/>
      <c r="R28" s="22" t="str">
        <f t="shared" si="8"/>
        <v/>
      </c>
      <c r="S28" s="23"/>
      <c r="T28" s="4"/>
      <c r="U28" s="4"/>
      <c r="V28" s="4"/>
      <c r="W28" s="4"/>
      <c r="X28" s="4"/>
      <c r="Y28" s="4"/>
      <c r="Z28" s="4"/>
    </row>
    <row r="29" ht="14.25" customHeight="1">
      <c r="A29" s="18"/>
      <c r="B29" s="18"/>
      <c r="C29" s="18"/>
      <c r="D29" s="19"/>
      <c r="E29" s="19"/>
      <c r="F29" s="19"/>
      <c r="G29" s="19"/>
      <c r="H29" s="20" t="str">
        <f t="shared" si="1"/>
        <v/>
      </c>
      <c r="I29" s="20" t="str">
        <f t="shared" si="2"/>
        <v/>
      </c>
      <c r="J29" s="20" t="str">
        <f t="shared" si="3"/>
        <v/>
      </c>
      <c r="K29" s="20" t="str">
        <f t="shared" si="4"/>
        <v/>
      </c>
      <c r="L29" s="20" t="str">
        <f t="shared" si="5"/>
        <v/>
      </c>
      <c r="M29" s="21"/>
      <c r="N29" s="22" t="str">
        <f t="shared" si="6"/>
        <v/>
      </c>
      <c r="O29" s="21"/>
      <c r="P29" s="22" t="str">
        <f t="shared" si="7"/>
        <v/>
      </c>
      <c r="Q29" s="21"/>
      <c r="R29" s="22" t="str">
        <f t="shared" si="8"/>
        <v/>
      </c>
      <c r="S29" s="23"/>
      <c r="T29" s="4"/>
      <c r="U29" s="4"/>
      <c r="V29" s="4"/>
      <c r="W29" s="4"/>
      <c r="X29" s="4"/>
      <c r="Y29" s="4"/>
      <c r="Z29" s="4"/>
    </row>
    <row r="30" ht="14.25" customHeight="1">
      <c r="A30" s="18"/>
      <c r="B30" s="18"/>
      <c r="C30" s="18"/>
      <c r="D30" s="19"/>
      <c r="E30" s="19"/>
      <c r="F30" s="19"/>
      <c r="G30" s="19"/>
      <c r="H30" s="20" t="str">
        <f t="shared" si="1"/>
        <v/>
      </c>
      <c r="I30" s="20" t="str">
        <f t="shared" si="2"/>
        <v/>
      </c>
      <c r="J30" s="20" t="str">
        <f t="shared" si="3"/>
        <v/>
      </c>
      <c r="K30" s="20" t="str">
        <f t="shared" si="4"/>
        <v/>
      </c>
      <c r="L30" s="20" t="str">
        <f t="shared" si="5"/>
        <v/>
      </c>
      <c r="M30" s="21"/>
      <c r="N30" s="22" t="str">
        <f t="shared" si="6"/>
        <v/>
      </c>
      <c r="O30" s="21"/>
      <c r="P30" s="22" t="str">
        <f t="shared" si="7"/>
        <v/>
      </c>
      <c r="Q30" s="21"/>
      <c r="R30" s="22" t="str">
        <f t="shared" si="8"/>
        <v/>
      </c>
      <c r="S30" s="23"/>
      <c r="T30" s="4"/>
      <c r="U30" s="4"/>
      <c r="V30" s="4"/>
      <c r="W30" s="4"/>
      <c r="X30" s="4"/>
      <c r="Y30" s="4"/>
      <c r="Z30" s="4"/>
    </row>
    <row r="31" ht="14.25" customHeight="1">
      <c r="A31" s="18"/>
      <c r="B31" s="18"/>
      <c r="C31" s="18"/>
      <c r="D31" s="19"/>
      <c r="E31" s="19"/>
      <c r="F31" s="19"/>
      <c r="G31" s="19"/>
      <c r="H31" s="20" t="str">
        <f t="shared" si="1"/>
        <v/>
      </c>
      <c r="I31" s="20" t="str">
        <f t="shared" si="2"/>
        <v/>
      </c>
      <c r="J31" s="20" t="str">
        <f t="shared" si="3"/>
        <v/>
      </c>
      <c r="K31" s="20" t="str">
        <f t="shared" si="4"/>
        <v/>
      </c>
      <c r="L31" s="20" t="str">
        <f t="shared" si="5"/>
        <v/>
      </c>
      <c r="M31" s="21"/>
      <c r="N31" s="22" t="str">
        <f t="shared" si="6"/>
        <v/>
      </c>
      <c r="O31" s="21"/>
      <c r="P31" s="22" t="str">
        <f t="shared" si="7"/>
        <v/>
      </c>
      <c r="Q31" s="21"/>
      <c r="R31" s="22" t="str">
        <f t="shared" si="8"/>
        <v/>
      </c>
      <c r="S31" s="23"/>
      <c r="T31" s="4"/>
      <c r="U31" s="4"/>
      <c r="V31" s="4"/>
      <c r="W31" s="4"/>
      <c r="X31" s="4"/>
      <c r="Y31" s="4"/>
      <c r="Z31" s="4"/>
    </row>
    <row r="32" ht="14.25" customHeight="1">
      <c r="A32" s="18"/>
      <c r="B32" s="18"/>
      <c r="C32" s="18"/>
      <c r="D32" s="19"/>
      <c r="E32" s="19"/>
      <c r="F32" s="19"/>
      <c r="G32" s="19"/>
      <c r="H32" s="20" t="str">
        <f t="shared" si="1"/>
        <v/>
      </c>
      <c r="I32" s="20" t="str">
        <f t="shared" si="2"/>
        <v/>
      </c>
      <c r="J32" s="20" t="str">
        <f t="shared" si="3"/>
        <v/>
      </c>
      <c r="K32" s="20" t="str">
        <f t="shared" si="4"/>
        <v/>
      </c>
      <c r="L32" s="20" t="str">
        <f t="shared" si="5"/>
        <v/>
      </c>
      <c r="M32" s="21"/>
      <c r="N32" s="22" t="str">
        <f t="shared" si="6"/>
        <v/>
      </c>
      <c r="O32" s="21"/>
      <c r="P32" s="22" t="str">
        <f t="shared" si="7"/>
        <v/>
      </c>
      <c r="Q32" s="21"/>
      <c r="R32" s="22" t="str">
        <f t="shared" si="8"/>
        <v/>
      </c>
      <c r="S32" s="23"/>
      <c r="T32" s="4"/>
      <c r="U32" s="4"/>
      <c r="V32" s="4"/>
      <c r="W32" s="4"/>
      <c r="X32" s="4"/>
      <c r="Y32" s="4"/>
      <c r="Z32" s="4"/>
    </row>
    <row r="33" ht="14.25" customHeight="1">
      <c r="A33" s="18"/>
      <c r="B33" s="18"/>
      <c r="C33" s="18"/>
      <c r="D33" s="19"/>
      <c r="E33" s="19"/>
      <c r="F33" s="19"/>
      <c r="G33" s="19"/>
      <c r="H33" s="20" t="str">
        <f t="shared" si="1"/>
        <v/>
      </c>
      <c r="I33" s="20" t="str">
        <f t="shared" si="2"/>
        <v/>
      </c>
      <c r="J33" s="20" t="str">
        <f t="shared" si="3"/>
        <v/>
      </c>
      <c r="K33" s="20" t="str">
        <f t="shared" si="4"/>
        <v/>
      </c>
      <c r="L33" s="20" t="str">
        <f t="shared" si="5"/>
        <v/>
      </c>
      <c r="M33" s="21"/>
      <c r="N33" s="22" t="str">
        <f t="shared" si="6"/>
        <v/>
      </c>
      <c r="O33" s="21"/>
      <c r="P33" s="22" t="str">
        <f t="shared" si="7"/>
        <v/>
      </c>
      <c r="Q33" s="21"/>
      <c r="R33" s="22" t="str">
        <f t="shared" si="8"/>
        <v/>
      </c>
      <c r="S33" s="23"/>
      <c r="T33" s="4"/>
      <c r="U33" s="4"/>
      <c r="V33" s="4"/>
      <c r="W33" s="4"/>
      <c r="X33" s="4"/>
      <c r="Y33" s="4"/>
      <c r="Z33" s="4"/>
    </row>
    <row r="34" ht="14.25" customHeight="1">
      <c r="A34" s="18"/>
      <c r="B34" s="18"/>
      <c r="C34" s="18"/>
      <c r="D34" s="19"/>
      <c r="E34" s="19"/>
      <c r="F34" s="19"/>
      <c r="G34" s="19"/>
      <c r="H34" s="20" t="str">
        <f t="shared" si="1"/>
        <v/>
      </c>
      <c r="I34" s="20" t="str">
        <f t="shared" si="2"/>
        <v/>
      </c>
      <c r="J34" s="20" t="str">
        <f t="shared" si="3"/>
        <v/>
      </c>
      <c r="K34" s="20" t="str">
        <f t="shared" si="4"/>
        <v/>
      </c>
      <c r="L34" s="20" t="str">
        <f t="shared" si="5"/>
        <v/>
      </c>
      <c r="M34" s="21"/>
      <c r="N34" s="22" t="str">
        <f t="shared" si="6"/>
        <v/>
      </c>
      <c r="O34" s="21"/>
      <c r="P34" s="22" t="str">
        <f t="shared" si="7"/>
        <v/>
      </c>
      <c r="Q34" s="21"/>
      <c r="R34" s="22" t="str">
        <f t="shared" si="8"/>
        <v/>
      </c>
      <c r="S34" s="23"/>
      <c r="T34" s="4"/>
      <c r="U34" s="4"/>
      <c r="V34" s="4"/>
      <c r="W34" s="4"/>
      <c r="X34" s="4"/>
      <c r="Y34" s="4"/>
      <c r="Z34" s="4"/>
    </row>
    <row r="35" ht="14.25" customHeight="1">
      <c r="A35" s="18"/>
      <c r="B35" s="18"/>
      <c r="C35" s="18"/>
      <c r="D35" s="19"/>
      <c r="E35" s="19"/>
      <c r="F35" s="19"/>
      <c r="G35" s="19"/>
      <c r="H35" s="20" t="str">
        <f t="shared" si="1"/>
        <v/>
      </c>
      <c r="I35" s="20" t="str">
        <f t="shared" si="2"/>
        <v/>
      </c>
      <c r="J35" s="20" t="str">
        <f t="shared" si="3"/>
        <v/>
      </c>
      <c r="K35" s="20" t="str">
        <f t="shared" si="4"/>
        <v/>
      </c>
      <c r="L35" s="20" t="str">
        <f t="shared" si="5"/>
        <v/>
      </c>
      <c r="M35" s="21"/>
      <c r="N35" s="22" t="str">
        <f t="shared" si="6"/>
        <v/>
      </c>
      <c r="O35" s="21"/>
      <c r="P35" s="22" t="str">
        <f t="shared" si="7"/>
        <v/>
      </c>
      <c r="Q35" s="21"/>
      <c r="R35" s="22" t="str">
        <f t="shared" si="8"/>
        <v/>
      </c>
      <c r="S35" s="23"/>
      <c r="T35" s="4"/>
      <c r="U35" s="4"/>
      <c r="V35" s="4"/>
      <c r="W35" s="4"/>
      <c r="X35" s="4"/>
      <c r="Y35" s="4"/>
      <c r="Z35" s="4"/>
    </row>
    <row r="36" ht="14.25" customHeight="1">
      <c r="A36" s="18"/>
      <c r="B36" s="18"/>
      <c r="C36" s="18"/>
      <c r="D36" s="19"/>
      <c r="E36" s="19"/>
      <c r="F36" s="19"/>
      <c r="G36" s="19"/>
      <c r="H36" s="20" t="str">
        <f t="shared" si="1"/>
        <v/>
      </c>
      <c r="I36" s="20" t="str">
        <f t="shared" si="2"/>
        <v/>
      </c>
      <c r="J36" s="20" t="str">
        <f t="shared" si="3"/>
        <v/>
      </c>
      <c r="K36" s="20" t="str">
        <f t="shared" si="4"/>
        <v/>
      </c>
      <c r="L36" s="20" t="str">
        <f t="shared" si="5"/>
        <v/>
      </c>
      <c r="M36" s="21"/>
      <c r="N36" s="22" t="str">
        <f t="shared" si="6"/>
        <v/>
      </c>
      <c r="O36" s="21"/>
      <c r="P36" s="22" t="str">
        <f t="shared" si="7"/>
        <v/>
      </c>
      <c r="Q36" s="21"/>
      <c r="R36" s="22" t="str">
        <f t="shared" si="8"/>
        <v/>
      </c>
      <c r="S36" s="23"/>
      <c r="T36" s="4"/>
      <c r="U36" s="4"/>
      <c r="V36" s="4"/>
      <c r="W36" s="4"/>
      <c r="X36" s="4"/>
      <c r="Y36" s="4"/>
      <c r="Z36" s="4"/>
    </row>
    <row r="37" ht="14.25" customHeight="1">
      <c r="A37" s="18"/>
      <c r="B37" s="18"/>
      <c r="C37" s="18"/>
      <c r="D37" s="19"/>
      <c r="E37" s="19"/>
      <c r="F37" s="19"/>
      <c r="G37" s="19"/>
      <c r="H37" s="20" t="str">
        <f t="shared" si="1"/>
        <v/>
      </c>
      <c r="I37" s="20" t="str">
        <f t="shared" si="2"/>
        <v/>
      </c>
      <c r="J37" s="20" t="str">
        <f t="shared" si="3"/>
        <v/>
      </c>
      <c r="K37" s="20" t="str">
        <f t="shared" si="4"/>
        <v/>
      </c>
      <c r="L37" s="20" t="str">
        <f t="shared" si="5"/>
        <v/>
      </c>
      <c r="M37" s="21"/>
      <c r="N37" s="22" t="str">
        <f t="shared" si="6"/>
        <v/>
      </c>
      <c r="O37" s="21"/>
      <c r="P37" s="22" t="str">
        <f t="shared" si="7"/>
        <v/>
      </c>
      <c r="Q37" s="21"/>
      <c r="R37" s="22" t="str">
        <f t="shared" si="8"/>
        <v/>
      </c>
      <c r="S37" s="23"/>
      <c r="T37" s="4"/>
      <c r="U37" s="4"/>
      <c r="V37" s="4"/>
      <c r="W37" s="4"/>
      <c r="X37" s="4"/>
      <c r="Y37" s="4"/>
      <c r="Z37" s="4"/>
    </row>
    <row r="38" ht="14.25" customHeight="1">
      <c r="A38" s="18"/>
      <c r="B38" s="18"/>
      <c r="C38" s="18"/>
      <c r="D38" s="19"/>
      <c r="E38" s="19"/>
      <c r="F38" s="19"/>
      <c r="G38" s="19"/>
      <c r="H38" s="20" t="str">
        <f t="shared" si="1"/>
        <v/>
      </c>
      <c r="I38" s="20" t="str">
        <f t="shared" si="2"/>
        <v/>
      </c>
      <c r="J38" s="20" t="str">
        <f t="shared" si="3"/>
        <v/>
      </c>
      <c r="K38" s="20" t="str">
        <f t="shared" si="4"/>
        <v/>
      </c>
      <c r="L38" s="20" t="str">
        <f t="shared" si="5"/>
        <v/>
      </c>
      <c r="M38" s="21"/>
      <c r="N38" s="22" t="str">
        <f t="shared" si="6"/>
        <v/>
      </c>
      <c r="O38" s="21"/>
      <c r="P38" s="22" t="str">
        <f t="shared" si="7"/>
        <v/>
      </c>
      <c r="Q38" s="21"/>
      <c r="R38" s="22" t="str">
        <f t="shared" si="8"/>
        <v/>
      </c>
      <c r="S38" s="23"/>
      <c r="T38" s="4"/>
      <c r="U38" s="4"/>
      <c r="V38" s="4"/>
      <c r="W38" s="4"/>
      <c r="X38" s="4"/>
      <c r="Y38" s="4"/>
      <c r="Z38" s="4"/>
    </row>
    <row r="39" ht="14.25" customHeight="1">
      <c r="A39" s="18"/>
      <c r="B39" s="18"/>
      <c r="C39" s="18"/>
      <c r="D39" s="19"/>
      <c r="E39" s="19"/>
      <c r="F39" s="19"/>
      <c r="G39" s="19"/>
      <c r="H39" s="20" t="str">
        <f t="shared" si="1"/>
        <v/>
      </c>
      <c r="I39" s="20" t="str">
        <f t="shared" si="2"/>
        <v/>
      </c>
      <c r="J39" s="20" t="str">
        <f t="shared" si="3"/>
        <v/>
      </c>
      <c r="K39" s="20" t="str">
        <f t="shared" si="4"/>
        <v/>
      </c>
      <c r="L39" s="20" t="str">
        <f t="shared" si="5"/>
        <v/>
      </c>
      <c r="M39" s="21"/>
      <c r="N39" s="22" t="str">
        <f t="shared" si="6"/>
        <v/>
      </c>
      <c r="O39" s="21"/>
      <c r="P39" s="22" t="str">
        <f t="shared" si="7"/>
        <v/>
      </c>
      <c r="Q39" s="21"/>
      <c r="R39" s="22" t="str">
        <f t="shared" si="8"/>
        <v/>
      </c>
      <c r="S39" s="23"/>
      <c r="T39" s="4"/>
      <c r="U39" s="4"/>
      <c r="V39" s="4"/>
      <c r="W39" s="4"/>
      <c r="X39" s="4"/>
      <c r="Y39" s="4"/>
      <c r="Z39" s="4"/>
    </row>
    <row r="40" ht="14.25" customHeight="1">
      <c r="A40" s="18"/>
      <c r="B40" s="18"/>
      <c r="C40" s="18"/>
      <c r="D40" s="19"/>
      <c r="E40" s="19"/>
      <c r="F40" s="19"/>
      <c r="G40" s="19"/>
      <c r="H40" s="20" t="str">
        <f t="shared" si="1"/>
        <v/>
      </c>
      <c r="I40" s="20" t="str">
        <f t="shared" si="2"/>
        <v/>
      </c>
      <c r="J40" s="20" t="str">
        <f t="shared" si="3"/>
        <v/>
      </c>
      <c r="K40" s="20" t="str">
        <f t="shared" si="4"/>
        <v/>
      </c>
      <c r="L40" s="20" t="str">
        <f t="shared" si="5"/>
        <v/>
      </c>
      <c r="M40" s="21"/>
      <c r="N40" s="22" t="str">
        <f t="shared" si="6"/>
        <v/>
      </c>
      <c r="O40" s="21"/>
      <c r="P40" s="22" t="str">
        <f t="shared" si="7"/>
        <v/>
      </c>
      <c r="Q40" s="21"/>
      <c r="R40" s="22" t="str">
        <f t="shared" si="8"/>
        <v/>
      </c>
      <c r="S40" s="23"/>
      <c r="T40" s="4"/>
      <c r="U40" s="4"/>
      <c r="V40" s="4"/>
      <c r="W40" s="4"/>
      <c r="X40" s="4"/>
      <c r="Y40" s="4"/>
      <c r="Z40" s="4"/>
    </row>
    <row r="41" ht="14.25" customHeight="1">
      <c r="A41" s="18"/>
      <c r="B41" s="18"/>
      <c r="C41" s="18"/>
      <c r="D41" s="19"/>
      <c r="E41" s="19"/>
      <c r="F41" s="19"/>
      <c r="G41" s="19"/>
      <c r="H41" s="20" t="str">
        <f t="shared" si="1"/>
        <v/>
      </c>
      <c r="I41" s="20" t="str">
        <f t="shared" si="2"/>
        <v/>
      </c>
      <c r="J41" s="20" t="str">
        <f t="shared" si="3"/>
        <v/>
      </c>
      <c r="K41" s="20" t="str">
        <f t="shared" si="4"/>
        <v/>
      </c>
      <c r="L41" s="20" t="str">
        <f t="shared" si="5"/>
        <v/>
      </c>
      <c r="M41" s="21"/>
      <c r="N41" s="22" t="str">
        <f t="shared" si="6"/>
        <v/>
      </c>
      <c r="O41" s="21"/>
      <c r="P41" s="22" t="str">
        <f t="shared" si="7"/>
        <v/>
      </c>
      <c r="Q41" s="21"/>
      <c r="R41" s="22" t="str">
        <f t="shared" si="8"/>
        <v/>
      </c>
      <c r="S41" s="23"/>
      <c r="T41" s="4"/>
      <c r="U41" s="4"/>
      <c r="V41" s="4"/>
      <c r="W41" s="4"/>
      <c r="X41" s="4"/>
      <c r="Y41" s="4"/>
      <c r="Z41" s="4"/>
    </row>
    <row r="42" ht="14.25" customHeight="1">
      <c r="A42" s="18"/>
      <c r="B42" s="18"/>
      <c r="C42" s="18"/>
      <c r="D42" s="19"/>
      <c r="E42" s="19"/>
      <c r="F42" s="19"/>
      <c r="G42" s="19"/>
      <c r="H42" s="20" t="str">
        <f t="shared" si="1"/>
        <v/>
      </c>
      <c r="I42" s="20" t="str">
        <f t="shared" si="2"/>
        <v/>
      </c>
      <c r="J42" s="20" t="str">
        <f t="shared" si="3"/>
        <v/>
      </c>
      <c r="K42" s="20" t="str">
        <f t="shared" si="4"/>
        <v/>
      </c>
      <c r="L42" s="20" t="str">
        <f t="shared" si="5"/>
        <v/>
      </c>
      <c r="M42" s="21"/>
      <c r="N42" s="22" t="str">
        <f t="shared" si="6"/>
        <v/>
      </c>
      <c r="O42" s="21"/>
      <c r="P42" s="22" t="str">
        <f t="shared" si="7"/>
        <v/>
      </c>
      <c r="Q42" s="21"/>
      <c r="R42" s="22" t="str">
        <f t="shared" si="8"/>
        <v/>
      </c>
      <c r="S42" s="23"/>
      <c r="T42" s="4"/>
      <c r="U42" s="4"/>
      <c r="V42" s="4"/>
      <c r="W42" s="4"/>
      <c r="X42" s="4"/>
      <c r="Y42" s="4"/>
      <c r="Z42" s="4"/>
    </row>
    <row r="43" ht="14.25" customHeight="1">
      <c r="A43" s="18"/>
      <c r="B43" s="18"/>
      <c r="C43" s="18"/>
      <c r="D43" s="19"/>
      <c r="E43" s="19"/>
      <c r="F43" s="19"/>
      <c r="G43" s="19"/>
      <c r="H43" s="20" t="str">
        <f t="shared" si="1"/>
        <v/>
      </c>
      <c r="I43" s="20" t="str">
        <f t="shared" si="2"/>
        <v/>
      </c>
      <c r="J43" s="20" t="str">
        <f t="shared" si="3"/>
        <v/>
      </c>
      <c r="K43" s="20" t="str">
        <f t="shared" si="4"/>
        <v/>
      </c>
      <c r="L43" s="20" t="str">
        <f t="shared" si="5"/>
        <v/>
      </c>
      <c r="M43" s="21"/>
      <c r="N43" s="22" t="str">
        <f t="shared" si="6"/>
        <v/>
      </c>
      <c r="O43" s="21"/>
      <c r="P43" s="22" t="str">
        <f t="shared" si="7"/>
        <v/>
      </c>
      <c r="Q43" s="21"/>
      <c r="R43" s="22" t="str">
        <f t="shared" si="8"/>
        <v/>
      </c>
      <c r="S43" s="23"/>
      <c r="T43" s="4"/>
      <c r="U43" s="4"/>
      <c r="V43" s="4"/>
      <c r="W43" s="4"/>
      <c r="X43" s="4"/>
      <c r="Y43" s="4"/>
      <c r="Z43" s="4"/>
    </row>
    <row r="44" ht="14.25" customHeight="1">
      <c r="A44" s="18"/>
      <c r="B44" s="18"/>
      <c r="C44" s="18"/>
      <c r="D44" s="19"/>
      <c r="E44" s="19"/>
      <c r="F44" s="19"/>
      <c r="G44" s="19"/>
      <c r="H44" s="20" t="str">
        <f t="shared" si="1"/>
        <v/>
      </c>
      <c r="I44" s="20" t="str">
        <f t="shared" si="2"/>
        <v/>
      </c>
      <c r="J44" s="20" t="str">
        <f t="shared" si="3"/>
        <v/>
      </c>
      <c r="K44" s="20" t="str">
        <f t="shared" si="4"/>
        <v/>
      </c>
      <c r="L44" s="20" t="str">
        <f t="shared" si="5"/>
        <v/>
      </c>
      <c r="M44" s="21"/>
      <c r="N44" s="22" t="str">
        <f t="shared" si="6"/>
        <v/>
      </c>
      <c r="O44" s="21"/>
      <c r="P44" s="22" t="str">
        <f t="shared" si="7"/>
        <v/>
      </c>
      <c r="Q44" s="21"/>
      <c r="R44" s="22" t="str">
        <f t="shared" si="8"/>
        <v/>
      </c>
      <c r="S44" s="23"/>
      <c r="T44" s="4"/>
      <c r="U44" s="4"/>
      <c r="V44" s="4"/>
      <c r="W44" s="4"/>
      <c r="X44" s="4"/>
      <c r="Y44" s="4"/>
      <c r="Z44" s="4"/>
    </row>
    <row r="45" ht="14.25" customHeight="1">
      <c r="A45" s="18"/>
      <c r="B45" s="18"/>
      <c r="C45" s="18"/>
      <c r="D45" s="19"/>
      <c r="E45" s="19"/>
      <c r="F45" s="19"/>
      <c r="G45" s="19"/>
      <c r="H45" s="20" t="str">
        <f t="shared" si="1"/>
        <v/>
      </c>
      <c r="I45" s="20" t="str">
        <f t="shared" si="2"/>
        <v/>
      </c>
      <c r="J45" s="20" t="str">
        <f t="shared" si="3"/>
        <v/>
      </c>
      <c r="K45" s="20" t="str">
        <f t="shared" si="4"/>
        <v/>
      </c>
      <c r="L45" s="20" t="str">
        <f t="shared" si="5"/>
        <v/>
      </c>
      <c r="M45" s="21"/>
      <c r="N45" s="22" t="str">
        <f t="shared" si="6"/>
        <v/>
      </c>
      <c r="O45" s="21"/>
      <c r="P45" s="22" t="str">
        <f t="shared" si="7"/>
        <v/>
      </c>
      <c r="Q45" s="21"/>
      <c r="R45" s="22" t="str">
        <f t="shared" si="8"/>
        <v/>
      </c>
      <c r="S45" s="23"/>
      <c r="T45" s="4"/>
      <c r="U45" s="4"/>
      <c r="V45" s="4"/>
      <c r="W45" s="4"/>
      <c r="X45" s="4"/>
      <c r="Y45" s="4"/>
      <c r="Z45" s="4"/>
    </row>
    <row r="46" ht="14.25" customHeight="1">
      <c r="A46" s="18"/>
      <c r="B46" s="18"/>
      <c r="C46" s="18"/>
      <c r="D46" s="19"/>
      <c r="E46" s="19"/>
      <c r="F46" s="19"/>
      <c r="G46" s="19"/>
      <c r="H46" s="20" t="str">
        <f t="shared" si="1"/>
        <v/>
      </c>
      <c r="I46" s="20" t="str">
        <f t="shared" si="2"/>
        <v/>
      </c>
      <c r="J46" s="20" t="str">
        <f t="shared" si="3"/>
        <v/>
      </c>
      <c r="K46" s="20" t="str">
        <f t="shared" si="4"/>
        <v/>
      </c>
      <c r="L46" s="20" t="str">
        <f t="shared" si="5"/>
        <v/>
      </c>
      <c r="M46" s="21"/>
      <c r="N46" s="22" t="str">
        <f t="shared" si="6"/>
        <v/>
      </c>
      <c r="O46" s="21"/>
      <c r="P46" s="22" t="str">
        <f t="shared" si="7"/>
        <v/>
      </c>
      <c r="Q46" s="21"/>
      <c r="R46" s="22" t="str">
        <f t="shared" si="8"/>
        <v/>
      </c>
      <c r="S46" s="23"/>
      <c r="T46" s="4"/>
      <c r="U46" s="4"/>
      <c r="V46" s="4"/>
      <c r="W46" s="4"/>
      <c r="X46" s="4"/>
      <c r="Y46" s="4"/>
      <c r="Z46" s="4"/>
    </row>
    <row r="47" ht="14.25" customHeight="1">
      <c r="A47" s="18"/>
      <c r="B47" s="18"/>
      <c r="C47" s="18"/>
      <c r="D47" s="19"/>
      <c r="E47" s="19"/>
      <c r="F47" s="19"/>
      <c r="G47" s="19"/>
      <c r="H47" s="20" t="str">
        <f t="shared" si="1"/>
        <v/>
      </c>
      <c r="I47" s="20" t="str">
        <f t="shared" si="2"/>
        <v/>
      </c>
      <c r="J47" s="20" t="str">
        <f t="shared" si="3"/>
        <v/>
      </c>
      <c r="K47" s="20" t="str">
        <f t="shared" si="4"/>
        <v/>
      </c>
      <c r="L47" s="20" t="str">
        <f t="shared" si="5"/>
        <v/>
      </c>
      <c r="M47" s="21"/>
      <c r="N47" s="22" t="str">
        <f t="shared" si="6"/>
        <v/>
      </c>
      <c r="O47" s="21"/>
      <c r="P47" s="22" t="str">
        <f t="shared" si="7"/>
        <v/>
      </c>
      <c r="Q47" s="21"/>
      <c r="R47" s="22" t="str">
        <f t="shared" si="8"/>
        <v/>
      </c>
      <c r="S47" s="23"/>
      <c r="T47" s="4"/>
      <c r="U47" s="4"/>
      <c r="V47" s="4"/>
      <c r="W47" s="4"/>
      <c r="X47" s="4"/>
      <c r="Y47" s="4"/>
      <c r="Z47" s="4"/>
    </row>
    <row r="48" ht="14.25" customHeight="1">
      <c r="A48" s="18"/>
      <c r="B48" s="18"/>
      <c r="C48" s="18"/>
      <c r="D48" s="19"/>
      <c r="E48" s="19"/>
      <c r="F48" s="19"/>
      <c r="G48" s="19"/>
      <c r="H48" s="20" t="str">
        <f t="shared" si="1"/>
        <v/>
      </c>
      <c r="I48" s="20" t="str">
        <f t="shared" si="2"/>
        <v/>
      </c>
      <c r="J48" s="20" t="str">
        <f t="shared" si="3"/>
        <v/>
      </c>
      <c r="K48" s="20" t="str">
        <f t="shared" si="4"/>
        <v/>
      </c>
      <c r="L48" s="20" t="str">
        <f t="shared" si="5"/>
        <v/>
      </c>
      <c r="M48" s="21"/>
      <c r="N48" s="22" t="str">
        <f t="shared" si="6"/>
        <v/>
      </c>
      <c r="O48" s="21"/>
      <c r="P48" s="22" t="str">
        <f t="shared" si="7"/>
        <v/>
      </c>
      <c r="Q48" s="21"/>
      <c r="R48" s="22" t="str">
        <f t="shared" si="8"/>
        <v/>
      </c>
      <c r="S48" s="23"/>
      <c r="T48" s="4"/>
      <c r="U48" s="4"/>
      <c r="V48" s="4"/>
      <c r="W48" s="4"/>
      <c r="X48" s="4"/>
      <c r="Y48" s="4"/>
      <c r="Z48" s="4"/>
    </row>
    <row r="49" ht="14.25" customHeight="1">
      <c r="A49" s="18"/>
      <c r="B49" s="18"/>
      <c r="C49" s="18"/>
      <c r="D49" s="19"/>
      <c r="E49" s="19"/>
      <c r="F49" s="19"/>
      <c r="G49" s="19"/>
      <c r="H49" s="20" t="str">
        <f t="shared" si="1"/>
        <v/>
      </c>
      <c r="I49" s="20" t="str">
        <f t="shared" si="2"/>
        <v/>
      </c>
      <c r="J49" s="20" t="str">
        <f t="shared" si="3"/>
        <v/>
      </c>
      <c r="K49" s="20" t="str">
        <f t="shared" si="4"/>
        <v/>
      </c>
      <c r="L49" s="20" t="str">
        <f t="shared" si="5"/>
        <v/>
      </c>
      <c r="M49" s="21"/>
      <c r="N49" s="22" t="str">
        <f t="shared" si="6"/>
        <v/>
      </c>
      <c r="O49" s="21"/>
      <c r="P49" s="22" t="str">
        <f t="shared" si="7"/>
        <v/>
      </c>
      <c r="Q49" s="21"/>
      <c r="R49" s="22" t="str">
        <f t="shared" si="8"/>
        <v/>
      </c>
      <c r="S49" s="23"/>
      <c r="T49" s="4"/>
      <c r="U49" s="4"/>
      <c r="V49" s="4"/>
      <c r="W49" s="4"/>
      <c r="X49" s="4"/>
      <c r="Y49" s="4"/>
      <c r="Z49" s="4"/>
    </row>
    <row r="50" ht="14.25" customHeight="1">
      <c r="A50" s="18"/>
      <c r="B50" s="18"/>
      <c r="C50" s="18"/>
      <c r="D50" s="19"/>
      <c r="E50" s="19"/>
      <c r="F50" s="19"/>
      <c r="G50" s="19"/>
      <c r="H50" s="20" t="str">
        <f t="shared" si="1"/>
        <v/>
      </c>
      <c r="I50" s="20" t="str">
        <f t="shared" si="2"/>
        <v/>
      </c>
      <c r="J50" s="20" t="str">
        <f t="shared" si="3"/>
        <v/>
      </c>
      <c r="K50" s="20" t="str">
        <f t="shared" si="4"/>
        <v/>
      </c>
      <c r="L50" s="20" t="str">
        <f t="shared" si="5"/>
        <v/>
      </c>
      <c r="M50" s="21"/>
      <c r="N50" s="22" t="str">
        <f t="shared" si="6"/>
        <v/>
      </c>
      <c r="O50" s="21"/>
      <c r="P50" s="22" t="str">
        <f t="shared" si="7"/>
        <v/>
      </c>
      <c r="Q50" s="21"/>
      <c r="R50" s="22" t="str">
        <f t="shared" si="8"/>
        <v/>
      </c>
      <c r="S50" s="23"/>
      <c r="T50" s="4"/>
      <c r="U50" s="4"/>
      <c r="V50" s="4"/>
      <c r="W50" s="4"/>
      <c r="X50" s="4"/>
      <c r="Y50" s="4"/>
      <c r="Z50" s="4"/>
    </row>
    <row r="51" ht="14.25" customHeight="1">
      <c r="A51" s="18"/>
      <c r="B51" s="18"/>
      <c r="C51" s="18"/>
      <c r="D51" s="19"/>
      <c r="E51" s="19"/>
      <c r="F51" s="19"/>
      <c r="G51" s="19"/>
      <c r="H51" s="20" t="str">
        <f t="shared" si="1"/>
        <v/>
      </c>
      <c r="I51" s="20" t="str">
        <f t="shared" si="2"/>
        <v/>
      </c>
      <c r="J51" s="20" t="str">
        <f t="shared" si="3"/>
        <v/>
      </c>
      <c r="K51" s="20" t="str">
        <f t="shared" si="4"/>
        <v/>
      </c>
      <c r="L51" s="20" t="str">
        <f t="shared" si="5"/>
        <v/>
      </c>
      <c r="M51" s="21"/>
      <c r="N51" s="22" t="str">
        <f t="shared" si="6"/>
        <v/>
      </c>
      <c r="O51" s="21"/>
      <c r="P51" s="22" t="str">
        <f t="shared" si="7"/>
        <v/>
      </c>
      <c r="Q51" s="21"/>
      <c r="R51" s="22" t="str">
        <f t="shared" si="8"/>
        <v/>
      </c>
      <c r="S51" s="23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qref="C2:C51">
      <formula1>"Planning,Ordered,In Transit,Received,Selling,Closed"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3" width="12.0"/>
    <col customWidth="1" min="4" max="4" width="24.0"/>
    <col customWidth="1" min="5" max="5" width="12.0"/>
    <col customWidth="1" min="6" max="6" width="20.0"/>
    <col customWidth="1" min="7" max="7" width="36.0"/>
    <col customWidth="1" min="8" max="8" width="28.0"/>
    <col customWidth="1" min="9" max="26" width="8.63"/>
  </cols>
  <sheetData>
    <row r="1" ht="27.75" customHeight="1">
      <c r="A1" s="17" t="s">
        <v>45</v>
      </c>
      <c r="B1" s="17" t="s">
        <v>64</v>
      </c>
      <c r="C1" s="17" t="s">
        <v>65</v>
      </c>
      <c r="D1" s="17" t="s">
        <v>66</v>
      </c>
      <c r="E1" s="17" t="s">
        <v>67</v>
      </c>
      <c r="F1" s="17" t="s">
        <v>68</v>
      </c>
      <c r="G1" s="17" t="s">
        <v>69</v>
      </c>
      <c r="H1" s="17" t="s">
        <v>70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18" t="s">
        <v>56</v>
      </c>
      <c r="B2" s="18" t="s">
        <v>8</v>
      </c>
      <c r="C2" s="25">
        <f t="shared" ref="C2:C51" si="1">DATE(2026,7,1)</f>
        <v>46204</v>
      </c>
      <c r="D2" s="18" t="s">
        <v>71</v>
      </c>
      <c r="E2" s="24">
        <v>118.32</v>
      </c>
      <c r="F2" s="18" t="s">
        <v>72</v>
      </c>
      <c r="G2" s="18" t="s">
        <v>73</v>
      </c>
      <c r="H2" s="1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18" t="s">
        <v>56</v>
      </c>
      <c r="B3" s="18" t="s">
        <v>8</v>
      </c>
      <c r="C3" s="25">
        <f t="shared" si="1"/>
        <v>46204</v>
      </c>
      <c r="D3" s="18" t="s">
        <v>74</v>
      </c>
      <c r="E3" s="24">
        <v>100.0</v>
      </c>
      <c r="F3" s="18" t="s">
        <v>72</v>
      </c>
      <c r="G3" s="18" t="s">
        <v>75</v>
      </c>
      <c r="H3" s="18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8" t="s">
        <v>56</v>
      </c>
      <c r="B4" s="18" t="s">
        <v>8</v>
      </c>
      <c r="C4" s="25">
        <f t="shared" si="1"/>
        <v>46204</v>
      </c>
      <c r="D4" s="18" t="s">
        <v>76</v>
      </c>
      <c r="E4" s="24">
        <v>52.0</v>
      </c>
      <c r="F4" s="18" t="s">
        <v>72</v>
      </c>
      <c r="G4" s="18" t="s">
        <v>77</v>
      </c>
      <c r="H4" s="18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8" t="s">
        <v>56</v>
      </c>
      <c r="B5" s="18" t="s">
        <v>8</v>
      </c>
      <c r="C5" s="25">
        <f t="shared" si="1"/>
        <v>46204</v>
      </c>
      <c r="D5" s="18" t="s">
        <v>78</v>
      </c>
      <c r="E5" s="24">
        <v>50.0</v>
      </c>
      <c r="F5" s="18" t="s">
        <v>72</v>
      </c>
      <c r="G5" s="18" t="s">
        <v>79</v>
      </c>
      <c r="H5" s="18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18" t="s">
        <v>56</v>
      </c>
      <c r="B6" s="18" t="s">
        <v>8</v>
      </c>
      <c r="C6" s="25">
        <f t="shared" si="1"/>
        <v>46204</v>
      </c>
      <c r="D6" s="18" t="s">
        <v>80</v>
      </c>
      <c r="E6" s="24">
        <f>118.27*2</f>
        <v>236.54</v>
      </c>
      <c r="F6" s="18" t="s">
        <v>72</v>
      </c>
      <c r="G6" s="18" t="s">
        <v>81</v>
      </c>
      <c r="H6" s="18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18" t="s">
        <v>56</v>
      </c>
      <c r="B7" s="18" t="s">
        <v>8</v>
      </c>
      <c r="C7" s="25">
        <f t="shared" si="1"/>
        <v>46204</v>
      </c>
      <c r="D7" s="18" t="s">
        <v>82</v>
      </c>
      <c r="E7" s="24">
        <v>200.0</v>
      </c>
      <c r="F7" s="18" t="s">
        <v>83</v>
      </c>
      <c r="G7" s="18" t="s">
        <v>84</v>
      </c>
      <c r="H7" s="18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18" t="s">
        <v>56</v>
      </c>
      <c r="B8" s="18"/>
      <c r="C8" s="26">
        <f t="shared" si="1"/>
        <v>46204</v>
      </c>
      <c r="D8" s="18"/>
      <c r="E8" s="21"/>
      <c r="F8" s="18" t="s">
        <v>72</v>
      </c>
      <c r="G8" s="18"/>
      <c r="H8" s="18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18" t="s">
        <v>56</v>
      </c>
      <c r="B9" s="18"/>
      <c r="C9" s="26">
        <f t="shared" si="1"/>
        <v>46204</v>
      </c>
      <c r="D9" s="18"/>
      <c r="E9" s="21"/>
      <c r="F9" s="18" t="s">
        <v>72</v>
      </c>
      <c r="G9" s="18"/>
      <c r="H9" s="18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18" t="s">
        <v>56</v>
      </c>
      <c r="B10" s="18"/>
      <c r="C10" s="26">
        <f t="shared" si="1"/>
        <v>46204</v>
      </c>
      <c r="D10" s="18"/>
      <c r="E10" s="21"/>
      <c r="F10" s="18" t="s">
        <v>72</v>
      </c>
      <c r="G10" s="18"/>
      <c r="H10" s="18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18" t="s">
        <v>56</v>
      </c>
      <c r="B11" s="18"/>
      <c r="C11" s="26">
        <f t="shared" si="1"/>
        <v>46204</v>
      </c>
      <c r="D11" s="18"/>
      <c r="E11" s="21"/>
      <c r="F11" s="18" t="s">
        <v>72</v>
      </c>
      <c r="G11" s="18"/>
      <c r="H11" s="18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18" t="s">
        <v>56</v>
      </c>
      <c r="B12" s="18"/>
      <c r="C12" s="26">
        <f t="shared" si="1"/>
        <v>46204</v>
      </c>
      <c r="D12" s="18"/>
      <c r="E12" s="21"/>
      <c r="F12" s="18" t="s">
        <v>72</v>
      </c>
      <c r="G12" s="18"/>
      <c r="H12" s="18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18" t="s">
        <v>56</v>
      </c>
      <c r="B13" s="18"/>
      <c r="C13" s="26">
        <f t="shared" si="1"/>
        <v>46204</v>
      </c>
      <c r="D13" s="18"/>
      <c r="E13" s="21"/>
      <c r="F13" s="18" t="s">
        <v>72</v>
      </c>
      <c r="G13" s="18"/>
      <c r="H13" s="18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18" t="s">
        <v>56</v>
      </c>
      <c r="B14" s="18"/>
      <c r="C14" s="26">
        <f t="shared" si="1"/>
        <v>46204</v>
      </c>
      <c r="D14" s="18"/>
      <c r="E14" s="21"/>
      <c r="F14" s="18" t="s">
        <v>72</v>
      </c>
      <c r="G14" s="18"/>
      <c r="H14" s="18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18" t="s">
        <v>56</v>
      </c>
      <c r="B15" s="18"/>
      <c r="C15" s="26">
        <f t="shared" si="1"/>
        <v>46204</v>
      </c>
      <c r="D15" s="18"/>
      <c r="E15" s="21"/>
      <c r="F15" s="18" t="s">
        <v>72</v>
      </c>
      <c r="G15" s="18"/>
      <c r="H15" s="18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18" t="s">
        <v>56</v>
      </c>
      <c r="B16" s="18"/>
      <c r="C16" s="26">
        <f t="shared" si="1"/>
        <v>46204</v>
      </c>
      <c r="D16" s="18"/>
      <c r="E16" s="21"/>
      <c r="F16" s="18" t="s">
        <v>72</v>
      </c>
      <c r="G16" s="18"/>
      <c r="H16" s="18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18" t="s">
        <v>56</v>
      </c>
      <c r="B17" s="18"/>
      <c r="C17" s="26">
        <f t="shared" si="1"/>
        <v>46204</v>
      </c>
      <c r="D17" s="18"/>
      <c r="E17" s="21"/>
      <c r="F17" s="18" t="s">
        <v>72</v>
      </c>
      <c r="G17" s="18"/>
      <c r="H17" s="18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18" t="s">
        <v>56</v>
      </c>
      <c r="B18" s="18"/>
      <c r="C18" s="26">
        <f t="shared" si="1"/>
        <v>46204</v>
      </c>
      <c r="D18" s="18"/>
      <c r="E18" s="21"/>
      <c r="F18" s="18" t="s">
        <v>72</v>
      </c>
      <c r="G18" s="18"/>
      <c r="H18" s="18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18" t="s">
        <v>56</v>
      </c>
      <c r="B19" s="18"/>
      <c r="C19" s="26">
        <f t="shared" si="1"/>
        <v>46204</v>
      </c>
      <c r="D19" s="18"/>
      <c r="E19" s="21"/>
      <c r="F19" s="18" t="s">
        <v>72</v>
      </c>
      <c r="G19" s="18"/>
      <c r="H19" s="18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18" t="s">
        <v>56</v>
      </c>
      <c r="B20" s="18"/>
      <c r="C20" s="26">
        <f t="shared" si="1"/>
        <v>46204</v>
      </c>
      <c r="D20" s="18"/>
      <c r="E20" s="21"/>
      <c r="F20" s="18" t="s">
        <v>72</v>
      </c>
      <c r="G20" s="18"/>
      <c r="H20" s="18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18" t="s">
        <v>56</v>
      </c>
      <c r="B21" s="18"/>
      <c r="C21" s="26">
        <f t="shared" si="1"/>
        <v>46204</v>
      </c>
      <c r="D21" s="18"/>
      <c r="E21" s="21"/>
      <c r="F21" s="18" t="s">
        <v>72</v>
      </c>
      <c r="G21" s="18"/>
      <c r="H21" s="18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18" t="s">
        <v>56</v>
      </c>
      <c r="B22" s="18"/>
      <c r="C22" s="26">
        <f t="shared" si="1"/>
        <v>46204</v>
      </c>
      <c r="D22" s="18"/>
      <c r="E22" s="21"/>
      <c r="F22" s="18" t="s">
        <v>72</v>
      </c>
      <c r="G22" s="18"/>
      <c r="H22" s="18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18" t="s">
        <v>56</v>
      </c>
      <c r="B23" s="18"/>
      <c r="C23" s="26">
        <f t="shared" si="1"/>
        <v>46204</v>
      </c>
      <c r="D23" s="18"/>
      <c r="E23" s="21"/>
      <c r="F23" s="18" t="s">
        <v>72</v>
      </c>
      <c r="G23" s="18"/>
      <c r="H23" s="18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18" t="s">
        <v>56</v>
      </c>
      <c r="B24" s="18"/>
      <c r="C24" s="26">
        <f t="shared" si="1"/>
        <v>46204</v>
      </c>
      <c r="D24" s="18"/>
      <c r="E24" s="21"/>
      <c r="F24" s="18" t="s">
        <v>72</v>
      </c>
      <c r="G24" s="18"/>
      <c r="H24" s="18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18" t="s">
        <v>56</v>
      </c>
      <c r="B25" s="18"/>
      <c r="C25" s="26">
        <f t="shared" si="1"/>
        <v>46204</v>
      </c>
      <c r="D25" s="18"/>
      <c r="E25" s="21"/>
      <c r="F25" s="18" t="s">
        <v>72</v>
      </c>
      <c r="G25" s="18"/>
      <c r="H25" s="18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18" t="s">
        <v>56</v>
      </c>
      <c r="B26" s="18"/>
      <c r="C26" s="26">
        <f t="shared" si="1"/>
        <v>46204</v>
      </c>
      <c r="D26" s="18"/>
      <c r="E26" s="21"/>
      <c r="F26" s="18" t="s">
        <v>72</v>
      </c>
      <c r="G26" s="18"/>
      <c r="H26" s="18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18" t="s">
        <v>56</v>
      </c>
      <c r="B27" s="18"/>
      <c r="C27" s="26">
        <f t="shared" si="1"/>
        <v>46204</v>
      </c>
      <c r="D27" s="18"/>
      <c r="E27" s="21"/>
      <c r="F27" s="18" t="s">
        <v>72</v>
      </c>
      <c r="G27" s="18"/>
      <c r="H27" s="18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18" t="s">
        <v>56</v>
      </c>
      <c r="B28" s="18"/>
      <c r="C28" s="26">
        <f t="shared" si="1"/>
        <v>46204</v>
      </c>
      <c r="D28" s="18"/>
      <c r="E28" s="21"/>
      <c r="F28" s="18" t="s">
        <v>72</v>
      </c>
      <c r="G28" s="18"/>
      <c r="H28" s="18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18" t="s">
        <v>56</v>
      </c>
      <c r="B29" s="18"/>
      <c r="C29" s="26">
        <f t="shared" si="1"/>
        <v>46204</v>
      </c>
      <c r="D29" s="18"/>
      <c r="E29" s="21"/>
      <c r="F29" s="18" t="s">
        <v>72</v>
      </c>
      <c r="G29" s="18"/>
      <c r="H29" s="18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18" t="s">
        <v>56</v>
      </c>
      <c r="B30" s="18"/>
      <c r="C30" s="26">
        <f t="shared" si="1"/>
        <v>46204</v>
      </c>
      <c r="D30" s="18"/>
      <c r="E30" s="21"/>
      <c r="F30" s="18" t="s">
        <v>72</v>
      </c>
      <c r="G30" s="18"/>
      <c r="H30" s="18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18" t="s">
        <v>56</v>
      </c>
      <c r="B31" s="18"/>
      <c r="C31" s="26">
        <f t="shared" si="1"/>
        <v>46204</v>
      </c>
      <c r="D31" s="18"/>
      <c r="E31" s="21"/>
      <c r="F31" s="18" t="s">
        <v>72</v>
      </c>
      <c r="G31" s="18"/>
      <c r="H31" s="18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18" t="s">
        <v>56</v>
      </c>
      <c r="B32" s="18"/>
      <c r="C32" s="26">
        <f t="shared" si="1"/>
        <v>46204</v>
      </c>
      <c r="D32" s="18"/>
      <c r="E32" s="21"/>
      <c r="F32" s="18" t="s">
        <v>72</v>
      </c>
      <c r="G32" s="18"/>
      <c r="H32" s="18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18" t="s">
        <v>56</v>
      </c>
      <c r="B33" s="18"/>
      <c r="C33" s="26">
        <f t="shared" si="1"/>
        <v>46204</v>
      </c>
      <c r="D33" s="18"/>
      <c r="E33" s="21"/>
      <c r="F33" s="18" t="s">
        <v>72</v>
      </c>
      <c r="G33" s="18"/>
      <c r="H33" s="18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18" t="s">
        <v>56</v>
      </c>
      <c r="B34" s="18"/>
      <c r="C34" s="26">
        <f t="shared" si="1"/>
        <v>46204</v>
      </c>
      <c r="D34" s="18"/>
      <c r="E34" s="21"/>
      <c r="F34" s="18" t="s">
        <v>72</v>
      </c>
      <c r="G34" s="18"/>
      <c r="H34" s="18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18" t="s">
        <v>56</v>
      </c>
      <c r="B35" s="18"/>
      <c r="C35" s="26">
        <f t="shared" si="1"/>
        <v>46204</v>
      </c>
      <c r="D35" s="18"/>
      <c r="E35" s="21"/>
      <c r="F35" s="18" t="s">
        <v>72</v>
      </c>
      <c r="G35" s="18"/>
      <c r="H35" s="18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18" t="s">
        <v>56</v>
      </c>
      <c r="B36" s="18"/>
      <c r="C36" s="26">
        <f t="shared" si="1"/>
        <v>46204</v>
      </c>
      <c r="D36" s="18"/>
      <c r="E36" s="21"/>
      <c r="F36" s="18" t="s">
        <v>72</v>
      </c>
      <c r="G36" s="18"/>
      <c r="H36" s="18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18" t="s">
        <v>56</v>
      </c>
      <c r="B37" s="18"/>
      <c r="C37" s="26">
        <f t="shared" si="1"/>
        <v>46204</v>
      </c>
      <c r="D37" s="18"/>
      <c r="E37" s="21"/>
      <c r="F37" s="18" t="s">
        <v>72</v>
      </c>
      <c r="G37" s="18"/>
      <c r="H37" s="18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18" t="s">
        <v>56</v>
      </c>
      <c r="B38" s="18"/>
      <c r="C38" s="26">
        <f t="shared" si="1"/>
        <v>46204</v>
      </c>
      <c r="D38" s="18"/>
      <c r="E38" s="21"/>
      <c r="F38" s="18" t="s">
        <v>72</v>
      </c>
      <c r="G38" s="18"/>
      <c r="H38" s="18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18" t="s">
        <v>56</v>
      </c>
      <c r="B39" s="18"/>
      <c r="C39" s="26">
        <f t="shared" si="1"/>
        <v>46204</v>
      </c>
      <c r="D39" s="18"/>
      <c r="E39" s="21"/>
      <c r="F39" s="18" t="s">
        <v>72</v>
      </c>
      <c r="G39" s="18"/>
      <c r="H39" s="18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18" t="s">
        <v>56</v>
      </c>
      <c r="B40" s="18"/>
      <c r="C40" s="26">
        <f t="shared" si="1"/>
        <v>46204</v>
      </c>
      <c r="D40" s="18"/>
      <c r="E40" s="21"/>
      <c r="F40" s="18" t="s">
        <v>72</v>
      </c>
      <c r="G40" s="18"/>
      <c r="H40" s="18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18" t="s">
        <v>56</v>
      </c>
      <c r="B41" s="18"/>
      <c r="C41" s="26">
        <f t="shared" si="1"/>
        <v>46204</v>
      </c>
      <c r="D41" s="18"/>
      <c r="E41" s="21"/>
      <c r="F41" s="18" t="s">
        <v>72</v>
      </c>
      <c r="G41" s="18"/>
      <c r="H41" s="18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18" t="s">
        <v>56</v>
      </c>
      <c r="B42" s="18"/>
      <c r="C42" s="26">
        <f t="shared" si="1"/>
        <v>46204</v>
      </c>
      <c r="D42" s="18"/>
      <c r="E42" s="21"/>
      <c r="F42" s="18" t="s">
        <v>72</v>
      </c>
      <c r="G42" s="18"/>
      <c r="H42" s="18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18" t="s">
        <v>56</v>
      </c>
      <c r="B43" s="18"/>
      <c r="C43" s="26">
        <f t="shared" si="1"/>
        <v>46204</v>
      </c>
      <c r="D43" s="18"/>
      <c r="E43" s="21"/>
      <c r="F43" s="18" t="s">
        <v>72</v>
      </c>
      <c r="G43" s="18"/>
      <c r="H43" s="18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18" t="s">
        <v>56</v>
      </c>
      <c r="B44" s="18"/>
      <c r="C44" s="26">
        <f t="shared" si="1"/>
        <v>46204</v>
      </c>
      <c r="D44" s="18"/>
      <c r="E44" s="21"/>
      <c r="F44" s="18" t="s">
        <v>72</v>
      </c>
      <c r="G44" s="18"/>
      <c r="H44" s="18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18" t="s">
        <v>56</v>
      </c>
      <c r="B45" s="18"/>
      <c r="C45" s="26">
        <f t="shared" si="1"/>
        <v>46204</v>
      </c>
      <c r="D45" s="18"/>
      <c r="E45" s="21"/>
      <c r="F45" s="18" t="s">
        <v>72</v>
      </c>
      <c r="G45" s="18"/>
      <c r="H45" s="18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18" t="s">
        <v>56</v>
      </c>
      <c r="B46" s="18"/>
      <c r="C46" s="26">
        <f t="shared" si="1"/>
        <v>46204</v>
      </c>
      <c r="D46" s="18"/>
      <c r="E46" s="21"/>
      <c r="F46" s="18" t="s">
        <v>72</v>
      </c>
      <c r="G46" s="18"/>
      <c r="H46" s="18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18" t="s">
        <v>56</v>
      </c>
      <c r="B47" s="18"/>
      <c r="C47" s="26">
        <f t="shared" si="1"/>
        <v>46204</v>
      </c>
      <c r="D47" s="18"/>
      <c r="E47" s="21"/>
      <c r="F47" s="18" t="s">
        <v>72</v>
      </c>
      <c r="G47" s="18"/>
      <c r="H47" s="18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18" t="s">
        <v>56</v>
      </c>
      <c r="B48" s="18"/>
      <c r="C48" s="26">
        <f t="shared" si="1"/>
        <v>46204</v>
      </c>
      <c r="D48" s="18"/>
      <c r="E48" s="21"/>
      <c r="F48" s="18" t="s">
        <v>72</v>
      </c>
      <c r="G48" s="18"/>
      <c r="H48" s="18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18" t="s">
        <v>56</v>
      </c>
      <c r="B49" s="18"/>
      <c r="C49" s="26">
        <f t="shared" si="1"/>
        <v>46204</v>
      </c>
      <c r="D49" s="18"/>
      <c r="E49" s="21"/>
      <c r="F49" s="18" t="s">
        <v>72</v>
      </c>
      <c r="G49" s="18"/>
      <c r="H49" s="18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18" t="s">
        <v>56</v>
      </c>
      <c r="B50" s="18"/>
      <c r="C50" s="26">
        <f t="shared" si="1"/>
        <v>46204</v>
      </c>
      <c r="D50" s="18"/>
      <c r="E50" s="21"/>
      <c r="F50" s="18" t="s">
        <v>72</v>
      </c>
      <c r="G50" s="18"/>
      <c r="H50" s="18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18" t="s">
        <v>56</v>
      </c>
      <c r="B51" s="18"/>
      <c r="C51" s="26">
        <f t="shared" si="1"/>
        <v>46204</v>
      </c>
      <c r="D51" s="18"/>
      <c r="E51" s="21"/>
      <c r="F51" s="18" t="s">
        <v>72</v>
      </c>
      <c r="G51" s="18"/>
      <c r="H51" s="18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qref="D2:D51">
      <formula1>"Gas,Rental,Freight,Pickup,Loading,Storage,Other"</formula1>
    </dataValidation>
    <dataValidation type="list" allowBlank="1" sqref="B2:B51">
      <formula1>"Clenny,Clanny"</formula1>
    </dataValidation>
    <dataValidation type="list" allowBlank="1" showInputMessage="1" prompt="Include in settlement? - Choose Yes to include this amount in the partner contribution basis." sqref="F2:F51">
      <formula1>"Yes,No"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2.0"/>
    <col customWidth="1" min="3" max="3" width="14.0"/>
    <col customWidth="1" min="4" max="4" width="24.0"/>
    <col customWidth="1" min="5" max="7" width="11.0"/>
    <col customWidth="1" min="8" max="8" width="14.0"/>
    <col customWidth="1" min="9" max="9" width="15.0"/>
    <col customWidth="1" min="10" max="10" width="12.0"/>
    <col customWidth="1" min="11" max="11" width="13.0"/>
    <col customWidth="1" min="12" max="13" width="14.0"/>
    <col customWidth="1" min="14" max="14" width="30.0"/>
    <col customWidth="1" min="15" max="26" width="8.63"/>
  </cols>
  <sheetData>
    <row r="1" ht="27.75" customHeight="1">
      <c r="A1" s="17" t="s">
        <v>45</v>
      </c>
      <c r="B1" s="17" t="s">
        <v>65</v>
      </c>
      <c r="C1" s="17" t="s">
        <v>5</v>
      </c>
      <c r="D1" s="17" t="s">
        <v>85</v>
      </c>
      <c r="E1" s="17" t="s">
        <v>86</v>
      </c>
      <c r="F1" s="17" t="s">
        <v>87</v>
      </c>
      <c r="G1" s="17" t="s">
        <v>88</v>
      </c>
      <c r="H1" s="17" t="s">
        <v>89</v>
      </c>
      <c r="I1" s="17" t="s">
        <v>90</v>
      </c>
      <c r="J1" s="17" t="s">
        <v>91</v>
      </c>
      <c r="K1" s="17" t="s">
        <v>92</v>
      </c>
      <c r="L1" s="17" t="s">
        <v>93</v>
      </c>
      <c r="M1" s="17" t="s">
        <v>94</v>
      </c>
      <c r="N1" s="17" t="s">
        <v>15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18" t="s">
        <v>56</v>
      </c>
      <c r="B2" s="26"/>
      <c r="C2" s="27" t="str">
        <f>IF($A2="","",VLOOKUP($A2,'Shipment Setup'!$A:$S,2,FALSE))</f>
        <v>Copenhagen</v>
      </c>
      <c r="D2" s="18"/>
      <c r="E2" s="19"/>
      <c r="F2" s="19"/>
      <c r="G2" s="19"/>
      <c r="H2" s="19"/>
      <c r="I2" s="20">
        <f>IF($A2="","",E2*VLOOKUP($A2,'Shipment Setup'!$A:$S,9,FALSE)+F2*VLOOKUP($A2,'Shipment Setup'!$A:$S,8,FALSE)+G2*VLOOKUP($A2,'Shipment Setup'!$A:$S,7,FALSE)+H2)</f>
        <v>0</v>
      </c>
      <c r="J2" s="21">
        <f t="array" ref="J2">IF(A2="","",IFERROR(XLOOKUP(A2,'Shipment Setup'!$A:$A,'Shipment Setup'!$O:$O,""),""))</f>
        <v>12</v>
      </c>
      <c r="K2" s="22">
        <f t="shared" ref="K2:K101" si="1">IF($A2="","",$I2*$J2)</f>
        <v>0</v>
      </c>
      <c r="L2" s="18"/>
      <c r="M2" s="18"/>
      <c r="N2" s="18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18" t="s">
        <v>56</v>
      </c>
      <c r="B3" s="26"/>
      <c r="C3" s="27" t="str">
        <f>IF($A3="","",VLOOKUP($A3,'Shipment Setup'!$A:$S,2,FALSE))</f>
        <v>Copenhagen</v>
      </c>
      <c r="D3" s="18"/>
      <c r="E3" s="19"/>
      <c r="F3" s="19"/>
      <c r="G3" s="19"/>
      <c r="H3" s="19"/>
      <c r="I3" s="20">
        <f>IF($A3="","",E3*VLOOKUP($A3,'Shipment Setup'!$A:$S,9,FALSE)+F3*VLOOKUP($A3,'Shipment Setup'!$A:$S,8,FALSE)+G3*VLOOKUP($A3,'Shipment Setup'!$A:$S,7,FALSE)+H3)</f>
        <v>0</v>
      </c>
      <c r="J3" s="21">
        <f t="array" ref="J3">IF(A3="","",IFERROR(XLOOKUP(A3,'Shipment Setup'!$A:$A,'Shipment Setup'!$O:$O,""),""))</f>
        <v>12</v>
      </c>
      <c r="K3" s="22">
        <f t="shared" si="1"/>
        <v>0</v>
      </c>
      <c r="L3" s="18"/>
      <c r="M3" s="18"/>
      <c r="N3" s="18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8" t="s">
        <v>56</v>
      </c>
      <c r="B4" s="26"/>
      <c r="C4" s="27" t="str">
        <f>IF($A4="","",VLOOKUP($A4,'Shipment Setup'!$A:$S,2,FALSE))</f>
        <v>Copenhagen</v>
      </c>
      <c r="D4" s="18"/>
      <c r="E4" s="19"/>
      <c r="F4" s="19"/>
      <c r="G4" s="19"/>
      <c r="H4" s="19"/>
      <c r="I4" s="20">
        <f>IF($A4="","",E4*VLOOKUP($A4,'Shipment Setup'!$A:$S,9,FALSE)+F4*VLOOKUP($A4,'Shipment Setup'!$A:$S,8,FALSE)+G4*VLOOKUP($A4,'Shipment Setup'!$A:$S,7,FALSE)+H4)</f>
        <v>0</v>
      </c>
      <c r="J4" s="21">
        <f t="array" ref="J4">IF(A4="","",IFERROR(XLOOKUP(A4,'Shipment Setup'!$A:$A,'Shipment Setup'!$O:$O,""),""))</f>
        <v>12</v>
      </c>
      <c r="K4" s="22">
        <f t="shared" si="1"/>
        <v>0</v>
      </c>
      <c r="L4" s="18"/>
      <c r="M4" s="18" t="s">
        <v>95</v>
      </c>
      <c r="N4" s="18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8" t="s">
        <v>56</v>
      </c>
      <c r="B5" s="26"/>
      <c r="C5" s="27" t="str">
        <f>IF($A5="","",VLOOKUP($A5,'Shipment Setup'!$A:$S,2,FALSE))</f>
        <v>Copenhagen</v>
      </c>
      <c r="D5" s="18"/>
      <c r="E5" s="19"/>
      <c r="F5" s="19"/>
      <c r="G5" s="19"/>
      <c r="H5" s="19"/>
      <c r="I5" s="20">
        <f>IF($A5="","",E5*VLOOKUP($A5,'Shipment Setup'!$A:$S,9,FALSE)+F5*VLOOKUP($A5,'Shipment Setup'!$A:$S,8,FALSE)+G5*VLOOKUP($A5,'Shipment Setup'!$A:$S,7,FALSE)+H5)</f>
        <v>0</v>
      </c>
      <c r="J5" s="21">
        <f t="array" ref="J5">IF(A5="","",IFERROR(XLOOKUP(A5,'Shipment Setup'!$A:$A,'Shipment Setup'!$O:$O,""),""))</f>
        <v>12</v>
      </c>
      <c r="K5" s="22">
        <f t="shared" si="1"/>
        <v>0</v>
      </c>
      <c r="L5" s="18"/>
      <c r="M5" s="18" t="s">
        <v>95</v>
      </c>
      <c r="N5" s="18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18" t="s">
        <v>56</v>
      </c>
      <c r="B6" s="26"/>
      <c r="C6" s="27" t="str">
        <f>IF($A6="","",VLOOKUP($A6,'Shipment Setup'!$A:$S,2,FALSE))</f>
        <v>Copenhagen</v>
      </c>
      <c r="D6" s="18"/>
      <c r="E6" s="19"/>
      <c r="F6" s="19"/>
      <c r="G6" s="19"/>
      <c r="H6" s="19"/>
      <c r="I6" s="20">
        <f>IF($A6="","",E6*VLOOKUP($A6,'Shipment Setup'!$A:$S,9,FALSE)+F6*VLOOKUP($A6,'Shipment Setup'!$A:$S,8,FALSE)+G6*VLOOKUP($A6,'Shipment Setup'!$A:$S,7,FALSE)+H6)</f>
        <v>0</v>
      </c>
      <c r="J6" s="21">
        <f t="array" ref="J6">IF(A6="","",IFERROR(XLOOKUP(A6,'Shipment Setup'!$A:$A,'Shipment Setup'!$O:$O,""),""))</f>
        <v>12</v>
      </c>
      <c r="K6" s="22">
        <f t="shared" si="1"/>
        <v>0</v>
      </c>
      <c r="L6" s="18"/>
      <c r="M6" s="18" t="s">
        <v>95</v>
      </c>
      <c r="N6" s="18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18" t="s">
        <v>56</v>
      </c>
      <c r="B7" s="26"/>
      <c r="C7" s="27" t="str">
        <f>IF($A7="","",VLOOKUP($A7,'Shipment Setup'!$A:$S,2,FALSE))</f>
        <v>Copenhagen</v>
      </c>
      <c r="D7" s="18"/>
      <c r="E7" s="19"/>
      <c r="F7" s="19"/>
      <c r="G7" s="19"/>
      <c r="H7" s="19"/>
      <c r="I7" s="20">
        <f>IF($A7="","",E7*VLOOKUP($A7,'Shipment Setup'!$A:$S,9,FALSE)+F7*VLOOKUP($A7,'Shipment Setup'!$A:$S,8,FALSE)+G7*VLOOKUP($A7,'Shipment Setup'!$A:$S,7,FALSE)+H7)</f>
        <v>0</v>
      </c>
      <c r="J7" s="21">
        <f t="array" ref="J7">IF(A7="","",IFERROR(XLOOKUP(A7,'Shipment Setup'!$A:$A,'Shipment Setup'!$O:$O,""),""))</f>
        <v>12</v>
      </c>
      <c r="K7" s="22">
        <f t="shared" si="1"/>
        <v>0</v>
      </c>
      <c r="L7" s="18"/>
      <c r="M7" s="18" t="s">
        <v>95</v>
      </c>
      <c r="N7" s="18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18" t="s">
        <v>56</v>
      </c>
      <c r="B8" s="26"/>
      <c r="C8" s="27" t="str">
        <f>IF($A8="","",VLOOKUP($A8,'Shipment Setup'!$A:$S,2,FALSE))</f>
        <v>Copenhagen</v>
      </c>
      <c r="D8" s="18"/>
      <c r="E8" s="19"/>
      <c r="F8" s="19"/>
      <c r="G8" s="19"/>
      <c r="H8" s="19"/>
      <c r="I8" s="20">
        <f>IF($A8="","",E8*VLOOKUP($A8,'Shipment Setup'!$A:$S,9,FALSE)+F8*VLOOKUP($A8,'Shipment Setup'!$A:$S,8,FALSE)+G8*VLOOKUP($A8,'Shipment Setup'!$A:$S,7,FALSE)+H8)</f>
        <v>0</v>
      </c>
      <c r="J8" s="21">
        <f t="array" ref="J8">IF(A8="","",IFERROR(XLOOKUP(A8,'Shipment Setup'!$A:$A,'Shipment Setup'!$O:$O,""),""))</f>
        <v>12</v>
      </c>
      <c r="K8" s="22">
        <f t="shared" si="1"/>
        <v>0</v>
      </c>
      <c r="L8" s="18"/>
      <c r="M8" s="18" t="s">
        <v>95</v>
      </c>
      <c r="N8" s="18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18" t="s">
        <v>56</v>
      </c>
      <c r="B9" s="26"/>
      <c r="C9" s="27" t="str">
        <f>IF($A9="","",VLOOKUP($A9,'Shipment Setup'!$A:$S,2,FALSE))</f>
        <v>Copenhagen</v>
      </c>
      <c r="D9" s="18"/>
      <c r="E9" s="19"/>
      <c r="F9" s="19"/>
      <c r="G9" s="19"/>
      <c r="H9" s="19"/>
      <c r="I9" s="20">
        <f>IF($A9="","",E9*VLOOKUP($A9,'Shipment Setup'!$A:$S,9,FALSE)+F9*VLOOKUP($A9,'Shipment Setup'!$A:$S,8,FALSE)+G9*VLOOKUP($A9,'Shipment Setup'!$A:$S,7,FALSE)+H9)</f>
        <v>0</v>
      </c>
      <c r="J9" s="21">
        <f t="array" ref="J9">IF(A9="","",IFERROR(XLOOKUP(A9,'Shipment Setup'!$A:$A,'Shipment Setup'!$O:$O,""),""))</f>
        <v>12</v>
      </c>
      <c r="K9" s="22">
        <f t="shared" si="1"/>
        <v>0</v>
      </c>
      <c r="L9" s="18"/>
      <c r="M9" s="18" t="s">
        <v>95</v>
      </c>
      <c r="N9" s="18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18" t="s">
        <v>56</v>
      </c>
      <c r="B10" s="26"/>
      <c r="C10" s="27" t="str">
        <f>IF($A10="","",VLOOKUP($A10,'Shipment Setup'!$A:$S,2,FALSE))</f>
        <v>Copenhagen</v>
      </c>
      <c r="D10" s="18"/>
      <c r="E10" s="19"/>
      <c r="F10" s="19"/>
      <c r="G10" s="19"/>
      <c r="H10" s="19"/>
      <c r="I10" s="20">
        <f>IF($A10="","",E10*VLOOKUP($A10,'Shipment Setup'!$A:$S,9,FALSE)+F10*VLOOKUP($A10,'Shipment Setup'!$A:$S,8,FALSE)+G10*VLOOKUP($A10,'Shipment Setup'!$A:$S,7,FALSE)+H10)</f>
        <v>0</v>
      </c>
      <c r="J10" s="21">
        <f t="array" ref="J10">IF(A10="","",IFERROR(XLOOKUP(A10,'Shipment Setup'!$A:$A,'Shipment Setup'!$O:$O,""),""))</f>
        <v>12</v>
      </c>
      <c r="K10" s="22">
        <f t="shared" si="1"/>
        <v>0</v>
      </c>
      <c r="L10" s="18"/>
      <c r="M10" s="18" t="s">
        <v>95</v>
      </c>
      <c r="N10" s="18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18" t="s">
        <v>56</v>
      </c>
      <c r="B11" s="26"/>
      <c r="C11" s="27" t="str">
        <f>IF($A11="","",VLOOKUP($A11,'Shipment Setup'!$A:$S,2,FALSE))</f>
        <v>Copenhagen</v>
      </c>
      <c r="D11" s="18"/>
      <c r="E11" s="19"/>
      <c r="F11" s="19"/>
      <c r="G11" s="19"/>
      <c r="H11" s="19"/>
      <c r="I11" s="20">
        <f>IF($A11="","",E11*VLOOKUP($A11,'Shipment Setup'!$A:$S,9,FALSE)+F11*VLOOKUP($A11,'Shipment Setup'!$A:$S,8,FALSE)+G11*VLOOKUP($A11,'Shipment Setup'!$A:$S,7,FALSE)+H11)</f>
        <v>0</v>
      </c>
      <c r="J11" s="21">
        <f t="array" ref="J11">IF(A11="","",IFERROR(XLOOKUP(A11,'Shipment Setup'!$A:$A,'Shipment Setup'!$O:$O,""),""))</f>
        <v>12</v>
      </c>
      <c r="K11" s="22">
        <f t="shared" si="1"/>
        <v>0</v>
      </c>
      <c r="L11" s="18"/>
      <c r="M11" s="18" t="s">
        <v>95</v>
      </c>
      <c r="N11" s="18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18" t="s">
        <v>56</v>
      </c>
      <c r="B12" s="26"/>
      <c r="C12" s="27" t="str">
        <f>IF($A12="","",VLOOKUP($A12,'Shipment Setup'!$A:$S,2,FALSE))</f>
        <v>Copenhagen</v>
      </c>
      <c r="D12" s="18"/>
      <c r="E12" s="19"/>
      <c r="F12" s="19"/>
      <c r="G12" s="19"/>
      <c r="H12" s="19"/>
      <c r="I12" s="20">
        <f>IF($A12="","",E12*VLOOKUP($A12,'Shipment Setup'!$A:$S,9,FALSE)+F12*VLOOKUP($A12,'Shipment Setup'!$A:$S,8,FALSE)+G12*VLOOKUP($A12,'Shipment Setup'!$A:$S,7,FALSE)+H12)</f>
        <v>0</v>
      </c>
      <c r="J12" s="21">
        <f t="array" ref="J12">IF(A12="","",IFERROR(XLOOKUP(A12,'Shipment Setup'!$A:$A,'Shipment Setup'!$O:$O,""),""))</f>
        <v>12</v>
      </c>
      <c r="K12" s="22">
        <f t="shared" si="1"/>
        <v>0</v>
      </c>
      <c r="L12" s="18"/>
      <c r="M12" s="18" t="s">
        <v>95</v>
      </c>
      <c r="N12" s="18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18" t="s">
        <v>56</v>
      </c>
      <c r="B13" s="26"/>
      <c r="C13" s="27" t="str">
        <f>IF($A13="","",VLOOKUP($A13,'Shipment Setup'!$A:$S,2,FALSE))</f>
        <v>Copenhagen</v>
      </c>
      <c r="D13" s="18"/>
      <c r="E13" s="19"/>
      <c r="F13" s="19"/>
      <c r="G13" s="19"/>
      <c r="H13" s="19"/>
      <c r="I13" s="20">
        <f>IF($A13="","",E13*VLOOKUP($A13,'Shipment Setup'!$A:$S,9,FALSE)+F13*VLOOKUP($A13,'Shipment Setup'!$A:$S,8,FALSE)+G13*VLOOKUP($A13,'Shipment Setup'!$A:$S,7,FALSE)+H13)</f>
        <v>0</v>
      </c>
      <c r="J13" s="21">
        <f t="array" ref="J13">IF(A13="","",IFERROR(XLOOKUP(A13,'Shipment Setup'!$A:$A,'Shipment Setup'!$O:$O,""),""))</f>
        <v>12</v>
      </c>
      <c r="K13" s="22">
        <f t="shared" si="1"/>
        <v>0</v>
      </c>
      <c r="L13" s="18"/>
      <c r="M13" s="18" t="s">
        <v>95</v>
      </c>
      <c r="N13" s="18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18" t="s">
        <v>56</v>
      </c>
      <c r="B14" s="26"/>
      <c r="C14" s="27" t="str">
        <f>IF($A14="","",VLOOKUP($A14,'Shipment Setup'!$A:$S,2,FALSE))</f>
        <v>Copenhagen</v>
      </c>
      <c r="D14" s="18"/>
      <c r="E14" s="19"/>
      <c r="F14" s="19"/>
      <c r="G14" s="19"/>
      <c r="H14" s="19"/>
      <c r="I14" s="20">
        <f>IF($A14="","",E14*VLOOKUP($A14,'Shipment Setup'!$A:$S,9,FALSE)+F14*VLOOKUP($A14,'Shipment Setup'!$A:$S,8,FALSE)+G14*VLOOKUP($A14,'Shipment Setup'!$A:$S,7,FALSE)+H14)</f>
        <v>0</v>
      </c>
      <c r="J14" s="21">
        <f t="array" ref="J14">IF(A14="","",IFERROR(XLOOKUP(A14,'Shipment Setup'!$A:$A,'Shipment Setup'!$O:$O,""),""))</f>
        <v>12</v>
      </c>
      <c r="K14" s="22">
        <f t="shared" si="1"/>
        <v>0</v>
      </c>
      <c r="L14" s="18"/>
      <c r="M14" s="18" t="s">
        <v>95</v>
      </c>
      <c r="N14" s="18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18" t="s">
        <v>56</v>
      </c>
      <c r="B15" s="26"/>
      <c r="C15" s="27" t="str">
        <f>IF($A15="","",VLOOKUP($A15,'Shipment Setup'!$A:$S,2,FALSE))</f>
        <v>Copenhagen</v>
      </c>
      <c r="D15" s="18"/>
      <c r="E15" s="19"/>
      <c r="F15" s="19"/>
      <c r="G15" s="19"/>
      <c r="H15" s="19"/>
      <c r="I15" s="20">
        <f>IF($A15="","",E15*VLOOKUP($A15,'Shipment Setup'!$A:$S,9,FALSE)+F15*VLOOKUP($A15,'Shipment Setup'!$A:$S,8,FALSE)+G15*VLOOKUP($A15,'Shipment Setup'!$A:$S,7,FALSE)+H15)</f>
        <v>0</v>
      </c>
      <c r="J15" s="21">
        <f t="array" ref="J15">IF(A15="","",IFERROR(XLOOKUP(A15,'Shipment Setup'!$A:$A,'Shipment Setup'!$O:$O,""),""))</f>
        <v>12</v>
      </c>
      <c r="K15" s="22">
        <f t="shared" si="1"/>
        <v>0</v>
      </c>
      <c r="L15" s="18"/>
      <c r="M15" s="18" t="s">
        <v>95</v>
      </c>
      <c r="N15" s="18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18" t="s">
        <v>56</v>
      </c>
      <c r="B16" s="26"/>
      <c r="C16" s="27" t="str">
        <f>IF($A16="","",VLOOKUP($A16,'Shipment Setup'!$A:$S,2,FALSE))</f>
        <v>Copenhagen</v>
      </c>
      <c r="D16" s="18"/>
      <c r="E16" s="19"/>
      <c r="F16" s="19"/>
      <c r="G16" s="19"/>
      <c r="H16" s="19"/>
      <c r="I16" s="20">
        <f>IF($A16="","",E16*VLOOKUP($A16,'Shipment Setup'!$A:$S,9,FALSE)+F16*VLOOKUP($A16,'Shipment Setup'!$A:$S,8,FALSE)+G16*VLOOKUP($A16,'Shipment Setup'!$A:$S,7,FALSE)+H16)</f>
        <v>0</v>
      </c>
      <c r="J16" s="21">
        <f t="array" ref="J16">IF(A16="","",IFERROR(XLOOKUP(A16,'Shipment Setup'!$A:$A,'Shipment Setup'!$O:$O,""),""))</f>
        <v>12</v>
      </c>
      <c r="K16" s="22">
        <f t="shared" si="1"/>
        <v>0</v>
      </c>
      <c r="L16" s="18"/>
      <c r="M16" s="18" t="s">
        <v>95</v>
      </c>
      <c r="N16" s="18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18" t="s">
        <v>56</v>
      </c>
      <c r="B17" s="26"/>
      <c r="C17" s="27" t="str">
        <f>IF($A17="","",VLOOKUP($A17,'Shipment Setup'!$A:$S,2,FALSE))</f>
        <v>Copenhagen</v>
      </c>
      <c r="D17" s="18"/>
      <c r="E17" s="19"/>
      <c r="F17" s="19"/>
      <c r="G17" s="19"/>
      <c r="H17" s="19"/>
      <c r="I17" s="20">
        <f>IF($A17="","",E17*VLOOKUP($A17,'Shipment Setup'!$A:$S,9,FALSE)+F17*VLOOKUP($A17,'Shipment Setup'!$A:$S,8,FALSE)+G17*VLOOKUP($A17,'Shipment Setup'!$A:$S,7,FALSE)+H17)</f>
        <v>0</v>
      </c>
      <c r="J17" s="21">
        <f t="array" ref="J17">IF(A17="","",IFERROR(XLOOKUP(A17,'Shipment Setup'!$A:$A,'Shipment Setup'!$O:$O,""),""))</f>
        <v>12</v>
      </c>
      <c r="K17" s="22">
        <f t="shared" si="1"/>
        <v>0</v>
      </c>
      <c r="L17" s="18"/>
      <c r="M17" s="18" t="s">
        <v>95</v>
      </c>
      <c r="N17" s="18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18" t="s">
        <v>56</v>
      </c>
      <c r="B18" s="26"/>
      <c r="C18" s="27" t="str">
        <f>IF($A18="","",VLOOKUP($A18,'Shipment Setup'!$A:$S,2,FALSE))</f>
        <v>Copenhagen</v>
      </c>
      <c r="D18" s="18"/>
      <c r="E18" s="19"/>
      <c r="F18" s="19"/>
      <c r="G18" s="19"/>
      <c r="H18" s="19"/>
      <c r="I18" s="20">
        <f>IF($A18="","",E18*VLOOKUP($A18,'Shipment Setup'!$A:$S,9,FALSE)+F18*VLOOKUP($A18,'Shipment Setup'!$A:$S,8,FALSE)+G18*VLOOKUP($A18,'Shipment Setup'!$A:$S,7,FALSE)+H18)</f>
        <v>0</v>
      </c>
      <c r="J18" s="21">
        <f t="array" ref="J18">IF(A18="","",IFERROR(XLOOKUP(A18,'Shipment Setup'!$A:$A,'Shipment Setup'!$O:$O,""),""))</f>
        <v>12</v>
      </c>
      <c r="K18" s="22">
        <f t="shared" si="1"/>
        <v>0</v>
      </c>
      <c r="L18" s="18"/>
      <c r="M18" s="18" t="s">
        <v>95</v>
      </c>
      <c r="N18" s="18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18" t="s">
        <v>56</v>
      </c>
      <c r="B19" s="26"/>
      <c r="C19" s="27" t="str">
        <f>IF($A19="","",VLOOKUP($A19,'Shipment Setup'!$A:$S,2,FALSE))</f>
        <v>Copenhagen</v>
      </c>
      <c r="D19" s="18"/>
      <c r="E19" s="19"/>
      <c r="F19" s="19"/>
      <c r="G19" s="19"/>
      <c r="H19" s="19"/>
      <c r="I19" s="20">
        <f>IF($A19="","",E19*VLOOKUP($A19,'Shipment Setup'!$A:$S,9,FALSE)+F19*VLOOKUP($A19,'Shipment Setup'!$A:$S,8,FALSE)+G19*VLOOKUP($A19,'Shipment Setup'!$A:$S,7,FALSE)+H19)</f>
        <v>0</v>
      </c>
      <c r="J19" s="21">
        <f t="array" ref="J19">IF(A19="","",IFERROR(XLOOKUP(A19,'Shipment Setup'!$A:$A,'Shipment Setup'!$O:$O,""),""))</f>
        <v>12</v>
      </c>
      <c r="K19" s="22">
        <f t="shared" si="1"/>
        <v>0</v>
      </c>
      <c r="L19" s="18"/>
      <c r="M19" s="18" t="s">
        <v>95</v>
      </c>
      <c r="N19" s="18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18" t="s">
        <v>56</v>
      </c>
      <c r="B20" s="26"/>
      <c r="C20" s="27" t="str">
        <f>IF($A20="","",VLOOKUP($A20,'Shipment Setup'!$A:$S,2,FALSE))</f>
        <v>Copenhagen</v>
      </c>
      <c r="D20" s="18"/>
      <c r="E20" s="19"/>
      <c r="F20" s="19"/>
      <c r="G20" s="19"/>
      <c r="H20" s="19"/>
      <c r="I20" s="20">
        <f>IF($A20="","",E20*VLOOKUP($A20,'Shipment Setup'!$A:$S,9,FALSE)+F20*VLOOKUP($A20,'Shipment Setup'!$A:$S,8,FALSE)+G20*VLOOKUP($A20,'Shipment Setup'!$A:$S,7,FALSE)+H20)</f>
        <v>0</v>
      </c>
      <c r="J20" s="21">
        <f t="array" ref="J20">IF(A20="","",IFERROR(XLOOKUP(A20,'Shipment Setup'!$A:$A,'Shipment Setup'!$O:$O,""),""))</f>
        <v>12</v>
      </c>
      <c r="K20" s="22">
        <f t="shared" si="1"/>
        <v>0</v>
      </c>
      <c r="L20" s="18"/>
      <c r="M20" s="18" t="s">
        <v>95</v>
      </c>
      <c r="N20" s="18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18" t="s">
        <v>56</v>
      </c>
      <c r="B21" s="26"/>
      <c r="C21" s="27" t="str">
        <f>IF($A21="","",VLOOKUP($A21,'Shipment Setup'!$A:$S,2,FALSE))</f>
        <v>Copenhagen</v>
      </c>
      <c r="D21" s="18"/>
      <c r="E21" s="19"/>
      <c r="F21" s="19"/>
      <c r="G21" s="19"/>
      <c r="H21" s="19"/>
      <c r="I21" s="20">
        <f>IF($A21="","",E21*VLOOKUP($A21,'Shipment Setup'!$A:$S,9,FALSE)+F21*VLOOKUP($A21,'Shipment Setup'!$A:$S,8,FALSE)+G21*VLOOKUP($A21,'Shipment Setup'!$A:$S,7,FALSE)+H21)</f>
        <v>0</v>
      </c>
      <c r="J21" s="21">
        <f t="array" ref="J21">IF(A21="","",IFERROR(XLOOKUP(A21,'Shipment Setup'!$A:$A,'Shipment Setup'!$O:$O,""),""))</f>
        <v>12</v>
      </c>
      <c r="K21" s="22">
        <f t="shared" si="1"/>
        <v>0</v>
      </c>
      <c r="L21" s="18"/>
      <c r="M21" s="18" t="s">
        <v>95</v>
      </c>
      <c r="N21" s="18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18" t="s">
        <v>56</v>
      </c>
      <c r="B22" s="26"/>
      <c r="C22" s="27" t="str">
        <f>IF($A22="","",VLOOKUP($A22,'Shipment Setup'!$A:$S,2,FALSE))</f>
        <v>Copenhagen</v>
      </c>
      <c r="D22" s="18"/>
      <c r="E22" s="19"/>
      <c r="F22" s="19"/>
      <c r="G22" s="19"/>
      <c r="H22" s="19"/>
      <c r="I22" s="20">
        <f>IF($A22="","",E22*VLOOKUP($A22,'Shipment Setup'!$A:$S,9,FALSE)+F22*VLOOKUP($A22,'Shipment Setup'!$A:$S,8,FALSE)+G22*VLOOKUP($A22,'Shipment Setup'!$A:$S,7,FALSE)+H22)</f>
        <v>0</v>
      </c>
      <c r="J22" s="21">
        <f t="array" ref="J22">IF(A22="","",IFERROR(XLOOKUP(A22,'Shipment Setup'!$A:$A,'Shipment Setup'!$O:$O,""),""))</f>
        <v>12</v>
      </c>
      <c r="K22" s="22">
        <f t="shared" si="1"/>
        <v>0</v>
      </c>
      <c r="L22" s="18"/>
      <c r="M22" s="18" t="s">
        <v>95</v>
      </c>
      <c r="N22" s="18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18" t="s">
        <v>56</v>
      </c>
      <c r="B23" s="26"/>
      <c r="C23" s="27" t="str">
        <f>IF($A23="","",VLOOKUP($A23,'Shipment Setup'!$A:$S,2,FALSE))</f>
        <v>Copenhagen</v>
      </c>
      <c r="D23" s="18"/>
      <c r="E23" s="19"/>
      <c r="F23" s="19"/>
      <c r="G23" s="19"/>
      <c r="H23" s="19"/>
      <c r="I23" s="20">
        <f>IF($A23="","",E23*VLOOKUP($A23,'Shipment Setup'!$A:$S,9,FALSE)+F23*VLOOKUP($A23,'Shipment Setup'!$A:$S,8,FALSE)+G23*VLOOKUP($A23,'Shipment Setup'!$A:$S,7,FALSE)+H23)</f>
        <v>0</v>
      </c>
      <c r="J23" s="21">
        <f t="array" ref="J23">IF(A23="","",IFERROR(XLOOKUP(A23,'Shipment Setup'!$A:$A,'Shipment Setup'!$O:$O,""),""))</f>
        <v>12</v>
      </c>
      <c r="K23" s="22">
        <f t="shared" si="1"/>
        <v>0</v>
      </c>
      <c r="L23" s="18"/>
      <c r="M23" s="18" t="s">
        <v>95</v>
      </c>
      <c r="N23" s="18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18" t="s">
        <v>56</v>
      </c>
      <c r="B24" s="26"/>
      <c r="C24" s="27" t="str">
        <f>IF($A24="","",VLOOKUP($A24,'Shipment Setup'!$A:$S,2,FALSE))</f>
        <v>Copenhagen</v>
      </c>
      <c r="D24" s="18"/>
      <c r="E24" s="19"/>
      <c r="F24" s="19"/>
      <c r="G24" s="19"/>
      <c r="H24" s="19"/>
      <c r="I24" s="20">
        <f>IF($A24="","",E24*VLOOKUP($A24,'Shipment Setup'!$A:$S,9,FALSE)+F24*VLOOKUP($A24,'Shipment Setup'!$A:$S,8,FALSE)+G24*VLOOKUP($A24,'Shipment Setup'!$A:$S,7,FALSE)+H24)</f>
        <v>0</v>
      </c>
      <c r="J24" s="21">
        <f t="array" ref="J24">IF(A24="","",IFERROR(XLOOKUP(A24,'Shipment Setup'!$A:$A,'Shipment Setup'!$O:$O,""),""))</f>
        <v>12</v>
      </c>
      <c r="K24" s="22">
        <f t="shared" si="1"/>
        <v>0</v>
      </c>
      <c r="L24" s="18"/>
      <c r="M24" s="18" t="s">
        <v>95</v>
      </c>
      <c r="N24" s="18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18" t="s">
        <v>56</v>
      </c>
      <c r="B25" s="26"/>
      <c r="C25" s="27" t="str">
        <f>IF($A25="","",VLOOKUP($A25,'Shipment Setup'!$A:$S,2,FALSE))</f>
        <v>Copenhagen</v>
      </c>
      <c r="D25" s="18"/>
      <c r="E25" s="19"/>
      <c r="F25" s="19"/>
      <c r="G25" s="19"/>
      <c r="H25" s="19"/>
      <c r="I25" s="20">
        <f>IF($A25="","",E25*VLOOKUP($A25,'Shipment Setup'!$A:$S,9,FALSE)+F25*VLOOKUP($A25,'Shipment Setup'!$A:$S,8,FALSE)+G25*VLOOKUP($A25,'Shipment Setup'!$A:$S,7,FALSE)+H25)</f>
        <v>0</v>
      </c>
      <c r="J25" s="21">
        <f t="array" ref="J25">IF(A25="","",IFERROR(XLOOKUP(A25,'Shipment Setup'!$A:$A,'Shipment Setup'!$O:$O,""),""))</f>
        <v>12</v>
      </c>
      <c r="K25" s="22">
        <f t="shared" si="1"/>
        <v>0</v>
      </c>
      <c r="L25" s="18"/>
      <c r="M25" s="18" t="s">
        <v>95</v>
      </c>
      <c r="N25" s="18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18" t="s">
        <v>56</v>
      </c>
      <c r="B26" s="26"/>
      <c r="C26" s="27" t="str">
        <f>IF($A26="","",VLOOKUP($A26,'Shipment Setup'!$A:$S,2,FALSE))</f>
        <v>Copenhagen</v>
      </c>
      <c r="D26" s="18"/>
      <c r="E26" s="19"/>
      <c r="F26" s="19"/>
      <c r="G26" s="19"/>
      <c r="H26" s="19"/>
      <c r="I26" s="20">
        <f>IF($A26="","",E26*VLOOKUP($A26,'Shipment Setup'!$A:$S,9,FALSE)+F26*VLOOKUP($A26,'Shipment Setup'!$A:$S,8,FALSE)+G26*VLOOKUP($A26,'Shipment Setup'!$A:$S,7,FALSE)+H26)</f>
        <v>0</v>
      </c>
      <c r="J26" s="21">
        <f t="array" ref="J26">IF(A26="","",IFERROR(XLOOKUP(A26,'Shipment Setup'!$A:$A,'Shipment Setup'!$O:$O,""),""))</f>
        <v>12</v>
      </c>
      <c r="K26" s="22">
        <f t="shared" si="1"/>
        <v>0</v>
      </c>
      <c r="L26" s="18"/>
      <c r="M26" s="18" t="s">
        <v>95</v>
      </c>
      <c r="N26" s="18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18" t="s">
        <v>56</v>
      </c>
      <c r="B27" s="26"/>
      <c r="C27" s="27" t="str">
        <f>IF($A27="","",VLOOKUP($A27,'Shipment Setup'!$A:$S,2,FALSE))</f>
        <v>Copenhagen</v>
      </c>
      <c r="D27" s="18"/>
      <c r="E27" s="19"/>
      <c r="F27" s="19"/>
      <c r="G27" s="19"/>
      <c r="H27" s="19"/>
      <c r="I27" s="20">
        <f>IF($A27="","",E27*VLOOKUP($A27,'Shipment Setup'!$A:$S,9,FALSE)+F27*VLOOKUP($A27,'Shipment Setup'!$A:$S,8,FALSE)+G27*VLOOKUP($A27,'Shipment Setup'!$A:$S,7,FALSE)+H27)</f>
        <v>0</v>
      </c>
      <c r="J27" s="21">
        <f t="array" ref="J27">IF(A27="","",IFERROR(XLOOKUP(A27,'Shipment Setup'!$A:$A,'Shipment Setup'!$O:$O,""),""))</f>
        <v>12</v>
      </c>
      <c r="K27" s="22">
        <f t="shared" si="1"/>
        <v>0</v>
      </c>
      <c r="L27" s="18"/>
      <c r="M27" s="18" t="s">
        <v>95</v>
      </c>
      <c r="N27" s="18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18" t="s">
        <v>56</v>
      </c>
      <c r="B28" s="26"/>
      <c r="C28" s="27" t="str">
        <f>IF($A28="","",VLOOKUP($A28,'Shipment Setup'!$A:$S,2,FALSE))</f>
        <v>Copenhagen</v>
      </c>
      <c r="D28" s="18"/>
      <c r="E28" s="19"/>
      <c r="F28" s="19"/>
      <c r="G28" s="19"/>
      <c r="H28" s="19"/>
      <c r="I28" s="20">
        <f>IF($A28="","",E28*VLOOKUP($A28,'Shipment Setup'!$A:$S,9,FALSE)+F28*VLOOKUP($A28,'Shipment Setup'!$A:$S,8,FALSE)+G28*VLOOKUP($A28,'Shipment Setup'!$A:$S,7,FALSE)+H28)</f>
        <v>0</v>
      </c>
      <c r="J28" s="21">
        <f t="array" ref="J28">IF(A28="","",IFERROR(XLOOKUP(A28,'Shipment Setup'!$A:$A,'Shipment Setup'!$O:$O,""),""))</f>
        <v>12</v>
      </c>
      <c r="K28" s="22">
        <f t="shared" si="1"/>
        <v>0</v>
      </c>
      <c r="L28" s="18"/>
      <c r="M28" s="18" t="s">
        <v>95</v>
      </c>
      <c r="N28" s="18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18" t="s">
        <v>56</v>
      </c>
      <c r="B29" s="26"/>
      <c r="C29" s="27" t="str">
        <f>IF($A29="","",VLOOKUP($A29,'Shipment Setup'!$A:$S,2,FALSE))</f>
        <v>Copenhagen</v>
      </c>
      <c r="D29" s="18"/>
      <c r="E29" s="19"/>
      <c r="F29" s="19"/>
      <c r="G29" s="19"/>
      <c r="H29" s="19"/>
      <c r="I29" s="20">
        <f>IF($A29="","",E29*VLOOKUP($A29,'Shipment Setup'!$A:$S,9,FALSE)+F29*VLOOKUP($A29,'Shipment Setup'!$A:$S,8,FALSE)+G29*VLOOKUP($A29,'Shipment Setup'!$A:$S,7,FALSE)+H29)</f>
        <v>0</v>
      </c>
      <c r="J29" s="21">
        <f t="array" ref="J29">IF(A29="","",IFERROR(XLOOKUP(A29,'Shipment Setup'!$A:$A,'Shipment Setup'!$O:$O,""),""))</f>
        <v>12</v>
      </c>
      <c r="K29" s="22">
        <f t="shared" si="1"/>
        <v>0</v>
      </c>
      <c r="L29" s="18"/>
      <c r="M29" s="18" t="s">
        <v>95</v>
      </c>
      <c r="N29" s="18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18" t="s">
        <v>56</v>
      </c>
      <c r="B30" s="26"/>
      <c r="C30" s="27" t="str">
        <f>IF($A30="","",VLOOKUP($A30,'Shipment Setup'!$A:$S,2,FALSE))</f>
        <v>Copenhagen</v>
      </c>
      <c r="D30" s="18"/>
      <c r="E30" s="19"/>
      <c r="F30" s="19"/>
      <c r="G30" s="19"/>
      <c r="H30" s="19"/>
      <c r="I30" s="20">
        <f>IF($A30="","",E30*VLOOKUP($A30,'Shipment Setup'!$A:$S,9,FALSE)+F30*VLOOKUP($A30,'Shipment Setup'!$A:$S,8,FALSE)+G30*VLOOKUP($A30,'Shipment Setup'!$A:$S,7,FALSE)+H30)</f>
        <v>0</v>
      </c>
      <c r="J30" s="21">
        <f t="array" ref="J30">IF(A30="","",IFERROR(XLOOKUP(A30,'Shipment Setup'!$A:$A,'Shipment Setup'!$O:$O,""),""))</f>
        <v>12</v>
      </c>
      <c r="K30" s="22">
        <f t="shared" si="1"/>
        <v>0</v>
      </c>
      <c r="L30" s="18"/>
      <c r="M30" s="18" t="s">
        <v>95</v>
      </c>
      <c r="N30" s="18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18" t="s">
        <v>56</v>
      </c>
      <c r="B31" s="26"/>
      <c r="C31" s="27" t="str">
        <f>IF($A31="","",VLOOKUP($A31,'Shipment Setup'!$A:$S,2,FALSE))</f>
        <v>Copenhagen</v>
      </c>
      <c r="D31" s="18"/>
      <c r="E31" s="19"/>
      <c r="F31" s="19"/>
      <c r="G31" s="19"/>
      <c r="H31" s="19"/>
      <c r="I31" s="20">
        <f>IF($A31="","",E31*VLOOKUP($A31,'Shipment Setup'!$A:$S,9,FALSE)+F31*VLOOKUP($A31,'Shipment Setup'!$A:$S,8,FALSE)+G31*VLOOKUP($A31,'Shipment Setup'!$A:$S,7,FALSE)+H31)</f>
        <v>0</v>
      </c>
      <c r="J31" s="21">
        <f t="array" ref="J31">IF(A31="","",IFERROR(XLOOKUP(A31,'Shipment Setup'!$A:$A,'Shipment Setup'!$O:$O,""),""))</f>
        <v>12</v>
      </c>
      <c r="K31" s="22">
        <f t="shared" si="1"/>
        <v>0</v>
      </c>
      <c r="L31" s="18"/>
      <c r="M31" s="18" t="s">
        <v>95</v>
      </c>
      <c r="N31" s="18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18" t="s">
        <v>56</v>
      </c>
      <c r="B32" s="26"/>
      <c r="C32" s="27" t="str">
        <f>IF($A32="","",VLOOKUP($A32,'Shipment Setup'!$A:$S,2,FALSE))</f>
        <v>Copenhagen</v>
      </c>
      <c r="D32" s="18"/>
      <c r="E32" s="19"/>
      <c r="F32" s="19"/>
      <c r="G32" s="19"/>
      <c r="H32" s="19"/>
      <c r="I32" s="20">
        <f>IF($A32="","",E32*VLOOKUP($A32,'Shipment Setup'!$A:$S,9,FALSE)+F32*VLOOKUP($A32,'Shipment Setup'!$A:$S,8,FALSE)+G32*VLOOKUP($A32,'Shipment Setup'!$A:$S,7,FALSE)+H32)</f>
        <v>0</v>
      </c>
      <c r="J32" s="21">
        <f t="array" ref="J32">IF(A32="","",IFERROR(XLOOKUP(A32,'Shipment Setup'!$A:$A,'Shipment Setup'!$O:$O,""),""))</f>
        <v>12</v>
      </c>
      <c r="K32" s="22">
        <f t="shared" si="1"/>
        <v>0</v>
      </c>
      <c r="L32" s="18"/>
      <c r="M32" s="18" t="s">
        <v>95</v>
      </c>
      <c r="N32" s="18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18" t="s">
        <v>56</v>
      </c>
      <c r="B33" s="26"/>
      <c r="C33" s="27" t="str">
        <f>IF($A33="","",VLOOKUP($A33,'Shipment Setup'!$A:$S,2,FALSE))</f>
        <v>Copenhagen</v>
      </c>
      <c r="D33" s="18"/>
      <c r="E33" s="19"/>
      <c r="F33" s="19"/>
      <c r="G33" s="19"/>
      <c r="H33" s="19"/>
      <c r="I33" s="20">
        <f>IF($A33="","",E33*VLOOKUP($A33,'Shipment Setup'!$A:$S,9,FALSE)+F33*VLOOKUP($A33,'Shipment Setup'!$A:$S,8,FALSE)+G33*VLOOKUP($A33,'Shipment Setup'!$A:$S,7,FALSE)+H33)</f>
        <v>0</v>
      </c>
      <c r="J33" s="21">
        <f t="array" ref="J33">IF(A33="","",IFERROR(XLOOKUP(A33,'Shipment Setup'!$A:$A,'Shipment Setup'!$O:$O,""),""))</f>
        <v>12</v>
      </c>
      <c r="K33" s="22">
        <f t="shared" si="1"/>
        <v>0</v>
      </c>
      <c r="L33" s="18"/>
      <c r="M33" s="18" t="s">
        <v>95</v>
      </c>
      <c r="N33" s="18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18" t="s">
        <v>56</v>
      </c>
      <c r="B34" s="26"/>
      <c r="C34" s="27" t="str">
        <f>IF($A34="","",VLOOKUP($A34,'Shipment Setup'!$A:$S,2,FALSE))</f>
        <v>Copenhagen</v>
      </c>
      <c r="D34" s="18"/>
      <c r="E34" s="19"/>
      <c r="F34" s="19"/>
      <c r="G34" s="19"/>
      <c r="H34" s="19"/>
      <c r="I34" s="20">
        <f>IF($A34="","",E34*VLOOKUP($A34,'Shipment Setup'!$A:$S,9,FALSE)+F34*VLOOKUP($A34,'Shipment Setup'!$A:$S,8,FALSE)+G34*VLOOKUP($A34,'Shipment Setup'!$A:$S,7,FALSE)+H34)</f>
        <v>0</v>
      </c>
      <c r="J34" s="21">
        <f t="array" ref="J34">IF(A34="","",IFERROR(XLOOKUP(A34,'Shipment Setup'!$A:$A,'Shipment Setup'!$O:$O,""),""))</f>
        <v>12</v>
      </c>
      <c r="K34" s="22">
        <f t="shared" si="1"/>
        <v>0</v>
      </c>
      <c r="L34" s="18"/>
      <c r="M34" s="18" t="s">
        <v>95</v>
      </c>
      <c r="N34" s="18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18" t="s">
        <v>56</v>
      </c>
      <c r="B35" s="26"/>
      <c r="C35" s="27" t="str">
        <f>IF($A35="","",VLOOKUP($A35,'Shipment Setup'!$A:$S,2,FALSE))</f>
        <v>Copenhagen</v>
      </c>
      <c r="D35" s="18"/>
      <c r="E35" s="19"/>
      <c r="F35" s="19"/>
      <c r="G35" s="19"/>
      <c r="H35" s="19"/>
      <c r="I35" s="20">
        <f>IF($A35="","",E35*VLOOKUP($A35,'Shipment Setup'!$A:$S,9,FALSE)+F35*VLOOKUP($A35,'Shipment Setup'!$A:$S,8,FALSE)+G35*VLOOKUP($A35,'Shipment Setup'!$A:$S,7,FALSE)+H35)</f>
        <v>0</v>
      </c>
      <c r="J35" s="21">
        <f t="array" ref="J35">IF(A35="","",IFERROR(XLOOKUP(A35,'Shipment Setup'!$A:$A,'Shipment Setup'!$O:$O,""),""))</f>
        <v>12</v>
      </c>
      <c r="K35" s="22">
        <f t="shared" si="1"/>
        <v>0</v>
      </c>
      <c r="L35" s="18"/>
      <c r="M35" s="18" t="s">
        <v>95</v>
      </c>
      <c r="N35" s="18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18" t="s">
        <v>56</v>
      </c>
      <c r="B36" s="26"/>
      <c r="C36" s="27" t="str">
        <f>IF($A36="","",VLOOKUP($A36,'Shipment Setup'!$A:$S,2,FALSE))</f>
        <v>Copenhagen</v>
      </c>
      <c r="D36" s="18"/>
      <c r="E36" s="19"/>
      <c r="F36" s="19"/>
      <c r="G36" s="19"/>
      <c r="H36" s="19"/>
      <c r="I36" s="20">
        <f>IF($A36="","",E36*VLOOKUP($A36,'Shipment Setup'!$A:$S,9,FALSE)+F36*VLOOKUP($A36,'Shipment Setup'!$A:$S,8,FALSE)+G36*VLOOKUP($A36,'Shipment Setup'!$A:$S,7,FALSE)+H36)</f>
        <v>0</v>
      </c>
      <c r="J36" s="21">
        <f t="array" ref="J36">IF(A36="","",IFERROR(XLOOKUP(A36,'Shipment Setup'!$A:$A,'Shipment Setup'!$O:$O,""),""))</f>
        <v>12</v>
      </c>
      <c r="K36" s="22">
        <f t="shared" si="1"/>
        <v>0</v>
      </c>
      <c r="L36" s="18"/>
      <c r="M36" s="18" t="s">
        <v>95</v>
      </c>
      <c r="N36" s="18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18" t="s">
        <v>56</v>
      </c>
      <c r="B37" s="26"/>
      <c r="C37" s="27" t="str">
        <f>IF($A37="","",VLOOKUP($A37,'Shipment Setup'!$A:$S,2,FALSE))</f>
        <v>Copenhagen</v>
      </c>
      <c r="D37" s="18"/>
      <c r="E37" s="19"/>
      <c r="F37" s="19"/>
      <c r="G37" s="19"/>
      <c r="H37" s="19"/>
      <c r="I37" s="20">
        <f>IF($A37="","",E37*VLOOKUP($A37,'Shipment Setup'!$A:$S,9,FALSE)+F37*VLOOKUP($A37,'Shipment Setup'!$A:$S,8,FALSE)+G37*VLOOKUP($A37,'Shipment Setup'!$A:$S,7,FALSE)+H37)</f>
        <v>0</v>
      </c>
      <c r="J37" s="21">
        <f t="array" ref="J37">IF(A37="","",IFERROR(XLOOKUP(A37,'Shipment Setup'!$A:$A,'Shipment Setup'!$O:$O,""),""))</f>
        <v>12</v>
      </c>
      <c r="K37" s="22">
        <f t="shared" si="1"/>
        <v>0</v>
      </c>
      <c r="L37" s="18"/>
      <c r="M37" s="18" t="s">
        <v>95</v>
      </c>
      <c r="N37" s="18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18" t="s">
        <v>56</v>
      </c>
      <c r="B38" s="26"/>
      <c r="C38" s="27" t="str">
        <f>IF($A38="","",VLOOKUP($A38,'Shipment Setup'!$A:$S,2,FALSE))</f>
        <v>Copenhagen</v>
      </c>
      <c r="D38" s="18"/>
      <c r="E38" s="19"/>
      <c r="F38" s="19"/>
      <c r="G38" s="19"/>
      <c r="H38" s="19"/>
      <c r="I38" s="20">
        <f>IF($A38="","",E38*VLOOKUP($A38,'Shipment Setup'!$A:$S,9,FALSE)+F38*VLOOKUP($A38,'Shipment Setup'!$A:$S,8,FALSE)+G38*VLOOKUP($A38,'Shipment Setup'!$A:$S,7,FALSE)+H38)</f>
        <v>0</v>
      </c>
      <c r="J38" s="21">
        <f t="array" ref="J38">IF(A38="","",IFERROR(XLOOKUP(A38,'Shipment Setup'!$A:$A,'Shipment Setup'!$O:$O,""),""))</f>
        <v>12</v>
      </c>
      <c r="K38" s="22">
        <f t="shared" si="1"/>
        <v>0</v>
      </c>
      <c r="L38" s="18"/>
      <c r="M38" s="18" t="s">
        <v>95</v>
      </c>
      <c r="N38" s="18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18" t="s">
        <v>56</v>
      </c>
      <c r="B39" s="26"/>
      <c r="C39" s="27" t="str">
        <f>IF($A39="","",VLOOKUP($A39,'Shipment Setup'!$A:$S,2,FALSE))</f>
        <v>Copenhagen</v>
      </c>
      <c r="D39" s="18"/>
      <c r="E39" s="19"/>
      <c r="F39" s="19"/>
      <c r="G39" s="19"/>
      <c r="H39" s="19"/>
      <c r="I39" s="20">
        <f>IF($A39="","",E39*VLOOKUP($A39,'Shipment Setup'!$A:$S,9,FALSE)+F39*VLOOKUP($A39,'Shipment Setup'!$A:$S,8,FALSE)+G39*VLOOKUP($A39,'Shipment Setup'!$A:$S,7,FALSE)+H39)</f>
        <v>0</v>
      </c>
      <c r="J39" s="21">
        <f t="array" ref="J39">IF(A39="","",IFERROR(XLOOKUP(A39,'Shipment Setup'!$A:$A,'Shipment Setup'!$O:$O,""),""))</f>
        <v>12</v>
      </c>
      <c r="K39" s="22">
        <f t="shared" si="1"/>
        <v>0</v>
      </c>
      <c r="L39" s="18"/>
      <c r="M39" s="18" t="s">
        <v>95</v>
      </c>
      <c r="N39" s="18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18" t="s">
        <v>56</v>
      </c>
      <c r="B40" s="26"/>
      <c r="C40" s="27" t="str">
        <f>IF($A40="","",VLOOKUP($A40,'Shipment Setup'!$A:$S,2,FALSE))</f>
        <v>Copenhagen</v>
      </c>
      <c r="D40" s="18"/>
      <c r="E40" s="19"/>
      <c r="F40" s="19"/>
      <c r="G40" s="19"/>
      <c r="H40" s="19"/>
      <c r="I40" s="20">
        <f>IF($A40="","",E40*VLOOKUP($A40,'Shipment Setup'!$A:$S,9,FALSE)+F40*VLOOKUP($A40,'Shipment Setup'!$A:$S,8,FALSE)+G40*VLOOKUP($A40,'Shipment Setup'!$A:$S,7,FALSE)+H40)</f>
        <v>0</v>
      </c>
      <c r="J40" s="21">
        <f t="array" ref="J40">IF(A40="","",IFERROR(XLOOKUP(A40,'Shipment Setup'!$A:$A,'Shipment Setup'!$O:$O,""),""))</f>
        <v>12</v>
      </c>
      <c r="K40" s="22">
        <f t="shared" si="1"/>
        <v>0</v>
      </c>
      <c r="L40" s="18"/>
      <c r="M40" s="18" t="s">
        <v>95</v>
      </c>
      <c r="N40" s="18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18" t="s">
        <v>56</v>
      </c>
      <c r="B41" s="26"/>
      <c r="C41" s="27" t="str">
        <f>IF($A41="","",VLOOKUP($A41,'Shipment Setup'!$A:$S,2,FALSE))</f>
        <v>Copenhagen</v>
      </c>
      <c r="D41" s="18"/>
      <c r="E41" s="19"/>
      <c r="F41" s="19"/>
      <c r="G41" s="19"/>
      <c r="H41" s="19"/>
      <c r="I41" s="20">
        <f>IF($A41="","",E41*VLOOKUP($A41,'Shipment Setup'!$A:$S,9,FALSE)+F41*VLOOKUP($A41,'Shipment Setup'!$A:$S,8,FALSE)+G41*VLOOKUP($A41,'Shipment Setup'!$A:$S,7,FALSE)+H41)</f>
        <v>0</v>
      </c>
      <c r="J41" s="21">
        <f t="array" ref="J41">IF(A41="","",IFERROR(XLOOKUP(A41,'Shipment Setup'!$A:$A,'Shipment Setup'!$O:$O,""),""))</f>
        <v>12</v>
      </c>
      <c r="K41" s="22">
        <f t="shared" si="1"/>
        <v>0</v>
      </c>
      <c r="L41" s="18"/>
      <c r="M41" s="18" t="s">
        <v>95</v>
      </c>
      <c r="N41" s="18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18" t="s">
        <v>56</v>
      </c>
      <c r="B42" s="26"/>
      <c r="C42" s="27" t="str">
        <f>IF($A42="","",VLOOKUP($A42,'Shipment Setup'!$A:$S,2,FALSE))</f>
        <v>Copenhagen</v>
      </c>
      <c r="D42" s="18"/>
      <c r="E42" s="19"/>
      <c r="F42" s="19"/>
      <c r="G42" s="19"/>
      <c r="H42" s="19"/>
      <c r="I42" s="20">
        <f>IF($A42="","",E42*VLOOKUP($A42,'Shipment Setup'!$A:$S,9,FALSE)+F42*VLOOKUP($A42,'Shipment Setup'!$A:$S,8,FALSE)+G42*VLOOKUP($A42,'Shipment Setup'!$A:$S,7,FALSE)+H42)</f>
        <v>0</v>
      </c>
      <c r="J42" s="21">
        <f t="array" ref="J42">IF(A42="","",IFERROR(XLOOKUP(A42,'Shipment Setup'!$A:$A,'Shipment Setup'!$O:$O,""),""))</f>
        <v>12</v>
      </c>
      <c r="K42" s="22">
        <f t="shared" si="1"/>
        <v>0</v>
      </c>
      <c r="L42" s="18"/>
      <c r="M42" s="18" t="s">
        <v>95</v>
      </c>
      <c r="N42" s="18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18" t="s">
        <v>56</v>
      </c>
      <c r="B43" s="26"/>
      <c r="C43" s="27" t="str">
        <f>IF($A43="","",VLOOKUP($A43,'Shipment Setup'!$A:$S,2,FALSE))</f>
        <v>Copenhagen</v>
      </c>
      <c r="D43" s="18"/>
      <c r="E43" s="19"/>
      <c r="F43" s="19"/>
      <c r="G43" s="19"/>
      <c r="H43" s="19"/>
      <c r="I43" s="20">
        <f>IF($A43="","",E43*VLOOKUP($A43,'Shipment Setup'!$A:$S,9,FALSE)+F43*VLOOKUP($A43,'Shipment Setup'!$A:$S,8,FALSE)+G43*VLOOKUP($A43,'Shipment Setup'!$A:$S,7,FALSE)+H43)</f>
        <v>0</v>
      </c>
      <c r="J43" s="21">
        <f t="array" ref="J43">IF(A43="","",IFERROR(XLOOKUP(A43,'Shipment Setup'!$A:$A,'Shipment Setup'!$O:$O,""),""))</f>
        <v>12</v>
      </c>
      <c r="K43" s="22">
        <f t="shared" si="1"/>
        <v>0</v>
      </c>
      <c r="L43" s="18"/>
      <c r="M43" s="18" t="s">
        <v>95</v>
      </c>
      <c r="N43" s="18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18" t="s">
        <v>56</v>
      </c>
      <c r="B44" s="26"/>
      <c r="C44" s="27" t="str">
        <f>IF($A44="","",VLOOKUP($A44,'Shipment Setup'!$A:$S,2,FALSE))</f>
        <v>Copenhagen</v>
      </c>
      <c r="D44" s="18"/>
      <c r="E44" s="19"/>
      <c r="F44" s="19"/>
      <c r="G44" s="19"/>
      <c r="H44" s="19"/>
      <c r="I44" s="20">
        <f>IF($A44="","",E44*VLOOKUP($A44,'Shipment Setup'!$A:$S,9,FALSE)+F44*VLOOKUP($A44,'Shipment Setup'!$A:$S,8,FALSE)+G44*VLOOKUP($A44,'Shipment Setup'!$A:$S,7,FALSE)+H44)</f>
        <v>0</v>
      </c>
      <c r="J44" s="21">
        <f t="array" ref="J44">IF(A44="","",IFERROR(XLOOKUP(A44,'Shipment Setup'!$A:$A,'Shipment Setup'!$O:$O,""),""))</f>
        <v>12</v>
      </c>
      <c r="K44" s="22">
        <f t="shared" si="1"/>
        <v>0</v>
      </c>
      <c r="L44" s="18"/>
      <c r="M44" s="18" t="s">
        <v>95</v>
      </c>
      <c r="N44" s="18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18" t="s">
        <v>56</v>
      </c>
      <c r="B45" s="26"/>
      <c r="C45" s="27" t="str">
        <f>IF($A45="","",VLOOKUP($A45,'Shipment Setup'!$A:$S,2,FALSE))</f>
        <v>Copenhagen</v>
      </c>
      <c r="D45" s="18"/>
      <c r="E45" s="19"/>
      <c r="F45" s="19"/>
      <c r="G45" s="19"/>
      <c r="H45" s="19"/>
      <c r="I45" s="20">
        <f>IF($A45="","",E45*VLOOKUP($A45,'Shipment Setup'!$A:$S,9,FALSE)+F45*VLOOKUP($A45,'Shipment Setup'!$A:$S,8,FALSE)+G45*VLOOKUP($A45,'Shipment Setup'!$A:$S,7,FALSE)+H45)</f>
        <v>0</v>
      </c>
      <c r="J45" s="21">
        <f t="array" ref="J45">IF(A45="","",IFERROR(XLOOKUP(A45,'Shipment Setup'!$A:$A,'Shipment Setup'!$O:$O,""),""))</f>
        <v>12</v>
      </c>
      <c r="K45" s="22">
        <f t="shared" si="1"/>
        <v>0</v>
      </c>
      <c r="L45" s="18"/>
      <c r="M45" s="18" t="s">
        <v>95</v>
      </c>
      <c r="N45" s="18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18" t="s">
        <v>56</v>
      </c>
      <c r="B46" s="26"/>
      <c r="C46" s="27" t="str">
        <f>IF($A46="","",VLOOKUP($A46,'Shipment Setup'!$A:$S,2,FALSE))</f>
        <v>Copenhagen</v>
      </c>
      <c r="D46" s="18"/>
      <c r="E46" s="19"/>
      <c r="F46" s="19"/>
      <c r="G46" s="19"/>
      <c r="H46" s="19"/>
      <c r="I46" s="20">
        <f>IF($A46="","",E46*VLOOKUP($A46,'Shipment Setup'!$A:$S,9,FALSE)+F46*VLOOKUP($A46,'Shipment Setup'!$A:$S,8,FALSE)+G46*VLOOKUP($A46,'Shipment Setup'!$A:$S,7,FALSE)+H46)</f>
        <v>0</v>
      </c>
      <c r="J46" s="21">
        <f t="array" ref="J46">IF(A46="","",IFERROR(XLOOKUP(A46,'Shipment Setup'!$A:$A,'Shipment Setup'!$O:$O,""),""))</f>
        <v>12</v>
      </c>
      <c r="K46" s="22">
        <f t="shared" si="1"/>
        <v>0</v>
      </c>
      <c r="L46" s="18"/>
      <c r="M46" s="18" t="s">
        <v>95</v>
      </c>
      <c r="N46" s="18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18" t="s">
        <v>56</v>
      </c>
      <c r="B47" s="26"/>
      <c r="C47" s="27" t="str">
        <f>IF($A47="","",VLOOKUP($A47,'Shipment Setup'!$A:$S,2,FALSE))</f>
        <v>Copenhagen</v>
      </c>
      <c r="D47" s="18"/>
      <c r="E47" s="19"/>
      <c r="F47" s="19"/>
      <c r="G47" s="19"/>
      <c r="H47" s="19"/>
      <c r="I47" s="20">
        <f>IF($A47="","",E47*VLOOKUP($A47,'Shipment Setup'!$A:$S,9,FALSE)+F47*VLOOKUP($A47,'Shipment Setup'!$A:$S,8,FALSE)+G47*VLOOKUP($A47,'Shipment Setup'!$A:$S,7,FALSE)+H47)</f>
        <v>0</v>
      </c>
      <c r="J47" s="21">
        <f t="array" ref="J47">IF(A47="","",IFERROR(XLOOKUP(A47,'Shipment Setup'!$A:$A,'Shipment Setup'!$O:$O,""),""))</f>
        <v>12</v>
      </c>
      <c r="K47" s="22">
        <f t="shared" si="1"/>
        <v>0</v>
      </c>
      <c r="L47" s="18"/>
      <c r="M47" s="18" t="s">
        <v>95</v>
      </c>
      <c r="N47" s="18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18" t="s">
        <v>56</v>
      </c>
      <c r="B48" s="26"/>
      <c r="C48" s="27" t="str">
        <f>IF($A48="","",VLOOKUP($A48,'Shipment Setup'!$A:$S,2,FALSE))</f>
        <v>Copenhagen</v>
      </c>
      <c r="D48" s="18"/>
      <c r="E48" s="19"/>
      <c r="F48" s="19"/>
      <c r="G48" s="19"/>
      <c r="H48" s="19"/>
      <c r="I48" s="20">
        <f>IF($A48="","",E48*VLOOKUP($A48,'Shipment Setup'!$A:$S,9,FALSE)+F48*VLOOKUP($A48,'Shipment Setup'!$A:$S,8,FALSE)+G48*VLOOKUP($A48,'Shipment Setup'!$A:$S,7,FALSE)+H48)</f>
        <v>0</v>
      </c>
      <c r="J48" s="21">
        <f t="array" ref="J48">IF(A48="","",IFERROR(XLOOKUP(A48,'Shipment Setup'!$A:$A,'Shipment Setup'!$O:$O,""),""))</f>
        <v>12</v>
      </c>
      <c r="K48" s="22">
        <f t="shared" si="1"/>
        <v>0</v>
      </c>
      <c r="L48" s="18"/>
      <c r="M48" s="18" t="s">
        <v>95</v>
      </c>
      <c r="N48" s="18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18" t="s">
        <v>56</v>
      </c>
      <c r="B49" s="26"/>
      <c r="C49" s="27" t="str">
        <f>IF($A49="","",VLOOKUP($A49,'Shipment Setup'!$A:$S,2,FALSE))</f>
        <v>Copenhagen</v>
      </c>
      <c r="D49" s="18"/>
      <c r="E49" s="19"/>
      <c r="F49" s="19"/>
      <c r="G49" s="19"/>
      <c r="H49" s="19"/>
      <c r="I49" s="20">
        <f>IF($A49="","",E49*VLOOKUP($A49,'Shipment Setup'!$A:$S,9,FALSE)+F49*VLOOKUP($A49,'Shipment Setup'!$A:$S,8,FALSE)+G49*VLOOKUP($A49,'Shipment Setup'!$A:$S,7,FALSE)+H49)</f>
        <v>0</v>
      </c>
      <c r="J49" s="21">
        <f t="array" ref="J49">IF(A49="","",IFERROR(XLOOKUP(A49,'Shipment Setup'!$A:$A,'Shipment Setup'!$O:$O,""),""))</f>
        <v>12</v>
      </c>
      <c r="K49" s="22">
        <f t="shared" si="1"/>
        <v>0</v>
      </c>
      <c r="L49" s="18"/>
      <c r="M49" s="18" t="s">
        <v>95</v>
      </c>
      <c r="N49" s="18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18" t="s">
        <v>56</v>
      </c>
      <c r="B50" s="26"/>
      <c r="C50" s="27" t="str">
        <f>IF($A50="","",VLOOKUP($A50,'Shipment Setup'!$A:$S,2,FALSE))</f>
        <v>Copenhagen</v>
      </c>
      <c r="D50" s="18"/>
      <c r="E50" s="19"/>
      <c r="F50" s="19"/>
      <c r="G50" s="19"/>
      <c r="H50" s="19"/>
      <c r="I50" s="20">
        <f>IF($A50="","",E50*VLOOKUP($A50,'Shipment Setup'!$A:$S,9,FALSE)+F50*VLOOKUP($A50,'Shipment Setup'!$A:$S,8,FALSE)+G50*VLOOKUP($A50,'Shipment Setup'!$A:$S,7,FALSE)+H50)</f>
        <v>0</v>
      </c>
      <c r="J50" s="21">
        <f t="array" ref="J50">IF(A50="","",IFERROR(XLOOKUP(A50,'Shipment Setup'!$A:$A,'Shipment Setup'!$O:$O,""),""))</f>
        <v>12</v>
      </c>
      <c r="K50" s="22">
        <f t="shared" si="1"/>
        <v>0</v>
      </c>
      <c r="L50" s="18"/>
      <c r="M50" s="18" t="s">
        <v>95</v>
      </c>
      <c r="N50" s="18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18" t="s">
        <v>56</v>
      </c>
      <c r="B51" s="26"/>
      <c r="C51" s="27" t="str">
        <f>IF($A51="","",VLOOKUP($A51,'Shipment Setup'!$A:$S,2,FALSE))</f>
        <v>Copenhagen</v>
      </c>
      <c r="D51" s="18"/>
      <c r="E51" s="19"/>
      <c r="F51" s="19"/>
      <c r="G51" s="19"/>
      <c r="H51" s="19"/>
      <c r="I51" s="20">
        <f>IF($A51="","",E51*VLOOKUP($A51,'Shipment Setup'!$A:$S,9,FALSE)+F51*VLOOKUP($A51,'Shipment Setup'!$A:$S,8,FALSE)+G51*VLOOKUP($A51,'Shipment Setup'!$A:$S,7,FALSE)+H51)</f>
        <v>0</v>
      </c>
      <c r="J51" s="21">
        <f t="array" ref="J51">IF(A51="","",IFERROR(XLOOKUP(A51,'Shipment Setup'!$A:$A,'Shipment Setup'!$O:$O,""),""))</f>
        <v>12</v>
      </c>
      <c r="K51" s="22">
        <f t="shared" si="1"/>
        <v>0</v>
      </c>
      <c r="L51" s="18"/>
      <c r="M51" s="18" t="s">
        <v>95</v>
      </c>
      <c r="N51" s="18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18" t="s">
        <v>56</v>
      </c>
      <c r="B52" s="26"/>
      <c r="C52" s="27" t="str">
        <f>IF($A52="","",VLOOKUP($A52,'Shipment Setup'!$A:$S,2,FALSE))</f>
        <v>Copenhagen</v>
      </c>
      <c r="D52" s="18"/>
      <c r="E52" s="19"/>
      <c r="F52" s="19"/>
      <c r="G52" s="19"/>
      <c r="H52" s="19"/>
      <c r="I52" s="20">
        <f>IF($A52="","",E52*VLOOKUP($A52,'Shipment Setup'!$A:$S,9,FALSE)+F52*VLOOKUP($A52,'Shipment Setup'!$A:$S,8,FALSE)+G52*VLOOKUP($A52,'Shipment Setup'!$A:$S,7,FALSE)+H52)</f>
        <v>0</v>
      </c>
      <c r="J52" s="21">
        <f t="array" ref="J52">IF(A52="","",IFERROR(XLOOKUP(A52,'Shipment Setup'!$A:$A,'Shipment Setup'!$O:$O,""),""))</f>
        <v>12</v>
      </c>
      <c r="K52" s="22">
        <f t="shared" si="1"/>
        <v>0</v>
      </c>
      <c r="L52" s="18"/>
      <c r="M52" s="18" t="s">
        <v>95</v>
      </c>
      <c r="N52" s="18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18" t="s">
        <v>56</v>
      </c>
      <c r="B53" s="26"/>
      <c r="C53" s="27" t="str">
        <f>IF($A53="","",VLOOKUP($A53,'Shipment Setup'!$A:$S,2,FALSE))</f>
        <v>Copenhagen</v>
      </c>
      <c r="D53" s="18"/>
      <c r="E53" s="19"/>
      <c r="F53" s="19"/>
      <c r="G53" s="19"/>
      <c r="H53" s="19"/>
      <c r="I53" s="20">
        <f>IF($A53="","",E53*VLOOKUP($A53,'Shipment Setup'!$A:$S,9,FALSE)+F53*VLOOKUP($A53,'Shipment Setup'!$A:$S,8,FALSE)+G53*VLOOKUP($A53,'Shipment Setup'!$A:$S,7,FALSE)+H53)</f>
        <v>0</v>
      </c>
      <c r="J53" s="21">
        <f t="array" ref="J53">IF(A53="","",IFERROR(XLOOKUP(A53,'Shipment Setup'!$A:$A,'Shipment Setup'!$O:$O,""),""))</f>
        <v>12</v>
      </c>
      <c r="K53" s="22">
        <f t="shared" si="1"/>
        <v>0</v>
      </c>
      <c r="L53" s="18"/>
      <c r="M53" s="18" t="s">
        <v>95</v>
      </c>
      <c r="N53" s="18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18" t="s">
        <v>56</v>
      </c>
      <c r="B54" s="26"/>
      <c r="C54" s="27" t="str">
        <f>IF($A54="","",VLOOKUP($A54,'Shipment Setup'!$A:$S,2,FALSE))</f>
        <v>Copenhagen</v>
      </c>
      <c r="D54" s="18"/>
      <c r="E54" s="19"/>
      <c r="F54" s="19"/>
      <c r="G54" s="19"/>
      <c r="H54" s="19"/>
      <c r="I54" s="20">
        <f>IF($A54="","",E54*VLOOKUP($A54,'Shipment Setup'!$A:$S,9,FALSE)+F54*VLOOKUP($A54,'Shipment Setup'!$A:$S,8,FALSE)+G54*VLOOKUP($A54,'Shipment Setup'!$A:$S,7,FALSE)+H54)</f>
        <v>0</v>
      </c>
      <c r="J54" s="21">
        <f t="array" ref="J54">IF(A54="","",IFERROR(XLOOKUP(A54,'Shipment Setup'!$A:$A,'Shipment Setup'!$O:$O,""),""))</f>
        <v>12</v>
      </c>
      <c r="K54" s="22">
        <f t="shared" si="1"/>
        <v>0</v>
      </c>
      <c r="L54" s="18"/>
      <c r="M54" s="18" t="s">
        <v>95</v>
      </c>
      <c r="N54" s="18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18" t="s">
        <v>56</v>
      </c>
      <c r="B55" s="26"/>
      <c r="C55" s="27" t="str">
        <f>IF($A55="","",VLOOKUP($A55,'Shipment Setup'!$A:$S,2,FALSE))</f>
        <v>Copenhagen</v>
      </c>
      <c r="D55" s="18"/>
      <c r="E55" s="19"/>
      <c r="F55" s="19"/>
      <c r="G55" s="19"/>
      <c r="H55" s="19"/>
      <c r="I55" s="20">
        <f>IF($A55="","",E55*VLOOKUP($A55,'Shipment Setup'!$A:$S,9,FALSE)+F55*VLOOKUP($A55,'Shipment Setup'!$A:$S,8,FALSE)+G55*VLOOKUP($A55,'Shipment Setup'!$A:$S,7,FALSE)+H55)</f>
        <v>0</v>
      </c>
      <c r="J55" s="21">
        <f t="array" ref="J55">IF(A55="","",IFERROR(XLOOKUP(A55,'Shipment Setup'!$A:$A,'Shipment Setup'!$O:$O,""),""))</f>
        <v>12</v>
      </c>
      <c r="K55" s="22">
        <f t="shared" si="1"/>
        <v>0</v>
      </c>
      <c r="L55" s="18"/>
      <c r="M55" s="18" t="s">
        <v>95</v>
      </c>
      <c r="N55" s="18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18" t="s">
        <v>56</v>
      </c>
      <c r="B56" s="26"/>
      <c r="C56" s="27" t="str">
        <f>IF($A56="","",VLOOKUP($A56,'Shipment Setup'!$A:$S,2,FALSE))</f>
        <v>Copenhagen</v>
      </c>
      <c r="D56" s="18"/>
      <c r="E56" s="19"/>
      <c r="F56" s="19"/>
      <c r="G56" s="19"/>
      <c r="H56" s="19"/>
      <c r="I56" s="20">
        <f>IF($A56="","",E56*VLOOKUP($A56,'Shipment Setup'!$A:$S,9,FALSE)+F56*VLOOKUP($A56,'Shipment Setup'!$A:$S,8,FALSE)+G56*VLOOKUP($A56,'Shipment Setup'!$A:$S,7,FALSE)+H56)</f>
        <v>0</v>
      </c>
      <c r="J56" s="21">
        <f t="array" ref="J56">IF(A56="","",IFERROR(XLOOKUP(A56,'Shipment Setup'!$A:$A,'Shipment Setup'!$O:$O,""),""))</f>
        <v>12</v>
      </c>
      <c r="K56" s="22">
        <f t="shared" si="1"/>
        <v>0</v>
      </c>
      <c r="L56" s="18"/>
      <c r="M56" s="18" t="s">
        <v>95</v>
      </c>
      <c r="N56" s="18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18" t="s">
        <v>56</v>
      </c>
      <c r="B57" s="26"/>
      <c r="C57" s="27" t="str">
        <f>IF($A57="","",VLOOKUP($A57,'Shipment Setup'!$A:$S,2,FALSE))</f>
        <v>Copenhagen</v>
      </c>
      <c r="D57" s="18"/>
      <c r="E57" s="19"/>
      <c r="F57" s="19"/>
      <c r="G57" s="19"/>
      <c r="H57" s="19"/>
      <c r="I57" s="20">
        <f>IF($A57="","",E57*VLOOKUP($A57,'Shipment Setup'!$A:$S,9,FALSE)+F57*VLOOKUP($A57,'Shipment Setup'!$A:$S,8,FALSE)+G57*VLOOKUP($A57,'Shipment Setup'!$A:$S,7,FALSE)+H57)</f>
        <v>0</v>
      </c>
      <c r="J57" s="21">
        <f t="array" ref="J57">IF(A57="","",IFERROR(XLOOKUP(A57,'Shipment Setup'!$A:$A,'Shipment Setup'!$O:$O,""),""))</f>
        <v>12</v>
      </c>
      <c r="K57" s="22">
        <f t="shared" si="1"/>
        <v>0</v>
      </c>
      <c r="L57" s="18"/>
      <c r="M57" s="18" t="s">
        <v>95</v>
      </c>
      <c r="N57" s="18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18" t="s">
        <v>56</v>
      </c>
      <c r="B58" s="26"/>
      <c r="C58" s="27" t="str">
        <f>IF($A58="","",VLOOKUP($A58,'Shipment Setup'!$A:$S,2,FALSE))</f>
        <v>Copenhagen</v>
      </c>
      <c r="D58" s="18"/>
      <c r="E58" s="19"/>
      <c r="F58" s="19"/>
      <c r="G58" s="19"/>
      <c r="H58" s="19"/>
      <c r="I58" s="20">
        <f>IF($A58="","",E58*VLOOKUP($A58,'Shipment Setup'!$A:$S,9,FALSE)+F58*VLOOKUP($A58,'Shipment Setup'!$A:$S,8,FALSE)+G58*VLOOKUP($A58,'Shipment Setup'!$A:$S,7,FALSE)+H58)</f>
        <v>0</v>
      </c>
      <c r="J58" s="21">
        <f t="array" ref="J58">IF(A58="","",IFERROR(XLOOKUP(A58,'Shipment Setup'!$A:$A,'Shipment Setup'!$O:$O,""),""))</f>
        <v>12</v>
      </c>
      <c r="K58" s="22">
        <f t="shared" si="1"/>
        <v>0</v>
      </c>
      <c r="L58" s="18"/>
      <c r="M58" s="18" t="s">
        <v>95</v>
      </c>
      <c r="N58" s="18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18" t="s">
        <v>56</v>
      </c>
      <c r="B59" s="26"/>
      <c r="C59" s="27" t="str">
        <f>IF($A59="","",VLOOKUP($A59,'Shipment Setup'!$A:$S,2,FALSE))</f>
        <v>Copenhagen</v>
      </c>
      <c r="D59" s="18"/>
      <c r="E59" s="19"/>
      <c r="F59" s="19"/>
      <c r="G59" s="19"/>
      <c r="H59" s="19"/>
      <c r="I59" s="20">
        <f>IF($A59="","",E59*VLOOKUP($A59,'Shipment Setup'!$A:$S,9,FALSE)+F59*VLOOKUP($A59,'Shipment Setup'!$A:$S,8,FALSE)+G59*VLOOKUP($A59,'Shipment Setup'!$A:$S,7,FALSE)+H59)</f>
        <v>0</v>
      </c>
      <c r="J59" s="21">
        <f t="array" ref="J59">IF(A59="","",IFERROR(XLOOKUP(A59,'Shipment Setup'!$A:$A,'Shipment Setup'!$O:$O,""),""))</f>
        <v>12</v>
      </c>
      <c r="K59" s="22">
        <f t="shared" si="1"/>
        <v>0</v>
      </c>
      <c r="L59" s="18"/>
      <c r="M59" s="18" t="s">
        <v>95</v>
      </c>
      <c r="N59" s="18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18" t="s">
        <v>56</v>
      </c>
      <c r="B60" s="26"/>
      <c r="C60" s="27" t="str">
        <f>IF($A60="","",VLOOKUP($A60,'Shipment Setup'!$A:$S,2,FALSE))</f>
        <v>Copenhagen</v>
      </c>
      <c r="D60" s="18"/>
      <c r="E60" s="19"/>
      <c r="F60" s="19"/>
      <c r="G60" s="19"/>
      <c r="H60" s="19"/>
      <c r="I60" s="20">
        <f>IF($A60="","",E60*VLOOKUP($A60,'Shipment Setup'!$A:$S,9,FALSE)+F60*VLOOKUP($A60,'Shipment Setup'!$A:$S,8,FALSE)+G60*VLOOKUP($A60,'Shipment Setup'!$A:$S,7,FALSE)+H60)</f>
        <v>0</v>
      </c>
      <c r="J60" s="21">
        <f t="array" ref="J60">IF(A60="","",IFERROR(XLOOKUP(A60,'Shipment Setup'!$A:$A,'Shipment Setup'!$O:$O,""),""))</f>
        <v>12</v>
      </c>
      <c r="K60" s="22">
        <f t="shared" si="1"/>
        <v>0</v>
      </c>
      <c r="L60" s="18"/>
      <c r="M60" s="18" t="s">
        <v>95</v>
      </c>
      <c r="N60" s="18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18" t="s">
        <v>56</v>
      </c>
      <c r="B61" s="26"/>
      <c r="C61" s="27" t="str">
        <f>IF($A61="","",VLOOKUP($A61,'Shipment Setup'!$A:$S,2,FALSE))</f>
        <v>Copenhagen</v>
      </c>
      <c r="D61" s="18"/>
      <c r="E61" s="19"/>
      <c r="F61" s="19"/>
      <c r="G61" s="19"/>
      <c r="H61" s="19"/>
      <c r="I61" s="20">
        <f>IF($A61="","",E61*VLOOKUP($A61,'Shipment Setup'!$A:$S,9,FALSE)+F61*VLOOKUP($A61,'Shipment Setup'!$A:$S,8,FALSE)+G61*VLOOKUP($A61,'Shipment Setup'!$A:$S,7,FALSE)+H61)</f>
        <v>0</v>
      </c>
      <c r="J61" s="21">
        <f t="array" ref="J61">IF(A61="","",IFERROR(XLOOKUP(A61,'Shipment Setup'!$A:$A,'Shipment Setup'!$O:$O,""),""))</f>
        <v>12</v>
      </c>
      <c r="K61" s="22">
        <f t="shared" si="1"/>
        <v>0</v>
      </c>
      <c r="L61" s="18"/>
      <c r="M61" s="18" t="s">
        <v>95</v>
      </c>
      <c r="N61" s="18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18" t="s">
        <v>56</v>
      </c>
      <c r="B62" s="26"/>
      <c r="C62" s="27" t="str">
        <f>IF($A62="","",VLOOKUP($A62,'Shipment Setup'!$A:$S,2,FALSE))</f>
        <v>Copenhagen</v>
      </c>
      <c r="D62" s="18"/>
      <c r="E62" s="19"/>
      <c r="F62" s="19"/>
      <c r="G62" s="19"/>
      <c r="H62" s="19"/>
      <c r="I62" s="20">
        <f>IF($A62="","",E62*VLOOKUP($A62,'Shipment Setup'!$A:$S,9,FALSE)+F62*VLOOKUP($A62,'Shipment Setup'!$A:$S,8,FALSE)+G62*VLOOKUP($A62,'Shipment Setup'!$A:$S,7,FALSE)+H62)</f>
        <v>0</v>
      </c>
      <c r="J62" s="21">
        <f t="array" ref="J62">IF(A62="","",IFERROR(XLOOKUP(A62,'Shipment Setup'!$A:$A,'Shipment Setup'!$O:$O,""),""))</f>
        <v>12</v>
      </c>
      <c r="K62" s="22">
        <f t="shared" si="1"/>
        <v>0</v>
      </c>
      <c r="L62" s="18"/>
      <c r="M62" s="18" t="s">
        <v>95</v>
      </c>
      <c r="N62" s="18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18" t="s">
        <v>56</v>
      </c>
      <c r="B63" s="26"/>
      <c r="C63" s="27" t="str">
        <f>IF($A63="","",VLOOKUP($A63,'Shipment Setup'!$A:$S,2,FALSE))</f>
        <v>Copenhagen</v>
      </c>
      <c r="D63" s="18"/>
      <c r="E63" s="19"/>
      <c r="F63" s="19"/>
      <c r="G63" s="19"/>
      <c r="H63" s="19"/>
      <c r="I63" s="20">
        <f>IF($A63="","",E63*VLOOKUP($A63,'Shipment Setup'!$A:$S,9,FALSE)+F63*VLOOKUP($A63,'Shipment Setup'!$A:$S,8,FALSE)+G63*VLOOKUP($A63,'Shipment Setup'!$A:$S,7,FALSE)+H63)</f>
        <v>0</v>
      </c>
      <c r="J63" s="21">
        <f t="array" ref="J63">IF(A63="","",IFERROR(XLOOKUP(A63,'Shipment Setup'!$A:$A,'Shipment Setup'!$O:$O,""),""))</f>
        <v>12</v>
      </c>
      <c r="K63" s="22">
        <f t="shared" si="1"/>
        <v>0</v>
      </c>
      <c r="L63" s="18"/>
      <c r="M63" s="18" t="s">
        <v>95</v>
      </c>
      <c r="N63" s="18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18" t="s">
        <v>56</v>
      </c>
      <c r="B64" s="26"/>
      <c r="C64" s="27" t="str">
        <f>IF($A64="","",VLOOKUP($A64,'Shipment Setup'!$A:$S,2,FALSE))</f>
        <v>Copenhagen</v>
      </c>
      <c r="D64" s="18"/>
      <c r="E64" s="19"/>
      <c r="F64" s="19"/>
      <c r="G64" s="19"/>
      <c r="H64" s="19"/>
      <c r="I64" s="20">
        <f>IF($A64="","",E64*VLOOKUP($A64,'Shipment Setup'!$A:$S,9,FALSE)+F64*VLOOKUP($A64,'Shipment Setup'!$A:$S,8,FALSE)+G64*VLOOKUP($A64,'Shipment Setup'!$A:$S,7,FALSE)+H64)</f>
        <v>0</v>
      </c>
      <c r="J64" s="21">
        <f t="array" ref="J64">IF(A64="","",IFERROR(XLOOKUP(A64,'Shipment Setup'!$A:$A,'Shipment Setup'!$O:$O,""),""))</f>
        <v>12</v>
      </c>
      <c r="K64" s="22">
        <f t="shared" si="1"/>
        <v>0</v>
      </c>
      <c r="L64" s="18"/>
      <c r="M64" s="18" t="s">
        <v>95</v>
      </c>
      <c r="N64" s="18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18" t="s">
        <v>56</v>
      </c>
      <c r="B65" s="26"/>
      <c r="C65" s="27" t="str">
        <f>IF($A65="","",VLOOKUP($A65,'Shipment Setup'!$A:$S,2,FALSE))</f>
        <v>Copenhagen</v>
      </c>
      <c r="D65" s="18"/>
      <c r="E65" s="19"/>
      <c r="F65" s="19"/>
      <c r="G65" s="19"/>
      <c r="H65" s="19"/>
      <c r="I65" s="20">
        <f>IF($A65="","",E65*VLOOKUP($A65,'Shipment Setup'!$A:$S,9,FALSE)+F65*VLOOKUP($A65,'Shipment Setup'!$A:$S,8,FALSE)+G65*VLOOKUP($A65,'Shipment Setup'!$A:$S,7,FALSE)+H65)</f>
        <v>0</v>
      </c>
      <c r="J65" s="21">
        <f t="array" ref="J65">IF(A65="","",IFERROR(XLOOKUP(A65,'Shipment Setup'!$A:$A,'Shipment Setup'!$O:$O,""),""))</f>
        <v>12</v>
      </c>
      <c r="K65" s="22">
        <f t="shared" si="1"/>
        <v>0</v>
      </c>
      <c r="L65" s="18"/>
      <c r="M65" s="18" t="s">
        <v>95</v>
      </c>
      <c r="N65" s="18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18" t="s">
        <v>56</v>
      </c>
      <c r="B66" s="26"/>
      <c r="C66" s="27" t="str">
        <f>IF($A66="","",VLOOKUP($A66,'Shipment Setup'!$A:$S,2,FALSE))</f>
        <v>Copenhagen</v>
      </c>
      <c r="D66" s="18"/>
      <c r="E66" s="19"/>
      <c r="F66" s="19"/>
      <c r="G66" s="19"/>
      <c r="H66" s="19"/>
      <c r="I66" s="20">
        <f>IF($A66="","",E66*VLOOKUP($A66,'Shipment Setup'!$A:$S,9,FALSE)+F66*VLOOKUP($A66,'Shipment Setup'!$A:$S,8,FALSE)+G66*VLOOKUP($A66,'Shipment Setup'!$A:$S,7,FALSE)+H66)</f>
        <v>0</v>
      </c>
      <c r="J66" s="21">
        <f t="array" ref="J66">IF(A66="","",IFERROR(XLOOKUP(A66,'Shipment Setup'!$A:$A,'Shipment Setup'!$O:$O,""),""))</f>
        <v>12</v>
      </c>
      <c r="K66" s="22">
        <f t="shared" si="1"/>
        <v>0</v>
      </c>
      <c r="L66" s="18"/>
      <c r="M66" s="18" t="s">
        <v>95</v>
      </c>
      <c r="N66" s="18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18" t="s">
        <v>56</v>
      </c>
      <c r="B67" s="26"/>
      <c r="C67" s="27" t="str">
        <f>IF($A67="","",VLOOKUP($A67,'Shipment Setup'!$A:$S,2,FALSE))</f>
        <v>Copenhagen</v>
      </c>
      <c r="D67" s="18"/>
      <c r="E67" s="19"/>
      <c r="F67" s="19"/>
      <c r="G67" s="19"/>
      <c r="H67" s="19"/>
      <c r="I67" s="20">
        <f>IF($A67="","",E67*VLOOKUP($A67,'Shipment Setup'!$A:$S,9,FALSE)+F67*VLOOKUP($A67,'Shipment Setup'!$A:$S,8,FALSE)+G67*VLOOKUP($A67,'Shipment Setup'!$A:$S,7,FALSE)+H67)</f>
        <v>0</v>
      </c>
      <c r="J67" s="21">
        <f t="array" ref="J67">IF(A67="","",IFERROR(XLOOKUP(A67,'Shipment Setup'!$A:$A,'Shipment Setup'!$O:$O,""),""))</f>
        <v>12</v>
      </c>
      <c r="K67" s="22">
        <f t="shared" si="1"/>
        <v>0</v>
      </c>
      <c r="L67" s="18"/>
      <c r="M67" s="18" t="s">
        <v>95</v>
      </c>
      <c r="N67" s="18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18" t="s">
        <v>56</v>
      </c>
      <c r="B68" s="26"/>
      <c r="C68" s="27" t="str">
        <f>IF($A68="","",VLOOKUP($A68,'Shipment Setup'!$A:$S,2,FALSE))</f>
        <v>Copenhagen</v>
      </c>
      <c r="D68" s="18"/>
      <c r="E68" s="19"/>
      <c r="F68" s="19"/>
      <c r="G68" s="19"/>
      <c r="H68" s="19"/>
      <c r="I68" s="20">
        <f>IF($A68="","",E68*VLOOKUP($A68,'Shipment Setup'!$A:$S,9,FALSE)+F68*VLOOKUP($A68,'Shipment Setup'!$A:$S,8,FALSE)+G68*VLOOKUP($A68,'Shipment Setup'!$A:$S,7,FALSE)+H68)</f>
        <v>0</v>
      </c>
      <c r="J68" s="21">
        <f t="array" ref="J68">IF(A68="","",IFERROR(XLOOKUP(A68,'Shipment Setup'!$A:$A,'Shipment Setup'!$O:$O,""),""))</f>
        <v>12</v>
      </c>
      <c r="K68" s="22">
        <f t="shared" si="1"/>
        <v>0</v>
      </c>
      <c r="L68" s="18"/>
      <c r="M68" s="18" t="s">
        <v>95</v>
      </c>
      <c r="N68" s="18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18" t="s">
        <v>56</v>
      </c>
      <c r="B69" s="26"/>
      <c r="C69" s="27" t="str">
        <f>IF($A69="","",VLOOKUP($A69,'Shipment Setup'!$A:$S,2,FALSE))</f>
        <v>Copenhagen</v>
      </c>
      <c r="D69" s="18"/>
      <c r="E69" s="19"/>
      <c r="F69" s="19"/>
      <c r="G69" s="19"/>
      <c r="H69" s="19"/>
      <c r="I69" s="20">
        <f>IF($A69="","",E69*VLOOKUP($A69,'Shipment Setup'!$A:$S,9,FALSE)+F69*VLOOKUP($A69,'Shipment Setup'!$A:$S,8,FALSE)+G69*VLOOKUP($A69,'Shipment Setup'!$A:$S,7,FALSE)+H69)</f>
        <v>0</v>
      </c>
      <c r="J69" s="21">
        <f t="array" ref="J69">IF(A69="","",IFERROR(XLOOKUP(A69,'Shipment Setup'!$A:$A,'Shipment Setup'!$O:$O,""),""))</f>
        <v>12</v>
      </c>
      <c r="K69" s="22">
        <f t="shared" si="1"/>
        <v>0</v>
      </c>
      <c r="L69" s="18"/>
      <c r="M69" s="18" t="s">
        <v>95</v>
      </c>
      <c r="N69" s="18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18" t="s">
        <v>56</v>
      </c>
      <c r="B70" s="26"/>
      <c r="C70" s="27" t="str">
        <f>IF($A70="","",VLOOKUP($A70,'Shipment Setup'!$A:$S,2,FALSE))</f>
        <v>Copenhagen</v>
      </c>
      <c r="D70" s="18"/>
      <c r="E70" s="19"/>
      <c r="F70" s="19"/>
      <c r="G70" s="19"/>
      <c r="H70" s="19"/>
      <c r="I70" s="20">
        <f>IF($A70="","",E70*VLOOKUP($A70,'Shipment Setup'!$A:$S,9,FALSE)+F70*VLOOKUP($A70,'Shipment Setup'!$A:$S,8,FALSE)+G70*VLOOKUP($A70,'Shipment Setup'!$A:$S,7,FALSE)+H70)</f>
        <v>0</v>
      </c>
      <c r="J70" s="21">
        <f t="array" ref="J70">IF(A70="","",IFERROR(XLOOKUP(A70,'Shipment Setup'!$A:$A,'Shipment Setup'!$O:$O,""),""))</f>
        <v>12</v>
      </c>
      <c r="K70" s="22">
        <f t="shared" si="1"/>
        <v>0</v>
      </c>
      <c r="L70" s="18"/>
      <c r="M70" s="18" t="s">
        <v>95</v>
      </c>
      <c r="N70" s="18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18" t="s">
        <v>56</v>
      </c>
      <c r="B71" s="26"/>
      <c r="C71" s="27" t="str">
        <f>IF($A71="","",VLOOKUP($A71,'Shipment Setup'!$A:$S,2,FALSE))</f>
        <v>Copenhagen</v>
      </c>
      <c r="D71" s="18"/>
      <c r="E71" s="19"/>
      <c r="F71" s="19"/>
      <c r="G71" s="19"/>
      <c r="H71" s="19"/>
      <c r="I71" s="20">
        <f>IF($A71="","",E71*VLOOKUP($A71,'Shipment Setup'!$A:$S,9,FALSE)+F71*VLOOKUP($A71,'Shipment Setup'!$A:$S,8,FALSE)+G71*VLOOKUP($A71,'Shipment Setup'!$A:$S,7,FALSE)+H71)</f>
        <v>0</v>
      </c>
      <c r="J71" s="21">
        <f t="array" ref="J71">IF(A71="","",IFERROR(XLOOKUP(A71,'Shipment Setup'!$A:$A,'Shipment Setup'!$O:$O,""),""))</f>
        <v>12</v>
      </c>
      <c r="K71" s="22">
        <f t="shared" si="1"/>
        <v>0</v>
      </c>
      <c r="L71" s="18"/>
      <c r="M71" s="18" t="s">
        <v>95</v>
      </c>
      <c r="N71" s="18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18" t="s">
        <v>56</v>
      </c>
      <c r="B72" s="26"/>
      <c r="C72" s="27" t="str">
        <f>IF($A72="","",VLOOKUP($A72,'Shipment Setup'!$A:$S,2,FALSE))</f>
        <v>Copenhagen</v>
      </c>
      <c r="D72" s="18"/>
      <c r="E72" s="19"/>
      <c r="F72" s="19"/>
      <c r="G72" s="19"/>
      <c r="H72" s="19"/>
      <c r="I72" s="20">
        <f>IF($A72="","",E72*VLOOKUP($A72,'Shipment Setup'!$A:$S,9,FALSE)+F72*VLOOKUP($A72,'Shipment Setup'!$A:$S,8,FALSE)+G72*VLOOKUP($A72,'Shipment Setup'!$A:$S,7,FALSE)+H72)</f>
        <v>0</v>
      </c>
      <c r="J72" s="21">
        <f t="array" ref="J72">IF(A72="","",IFERROR(XLOOKUP(A72,'Shipment Setup'!$A:$A,'Shipment Setup'!$O:$O,""),""))</f>
        <v>12</v>
      </c>
      <c r="K72" s="22">
        <f t="shared" si="1"/>
        <v>0</v>
      </c>
      <c r="L72" s="18"/>
      <c r="M72" s="18" t="s">
        <v>95</v>
      </c>
      <c r="N72" s="18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18" t="s">
        <v>56</v>
      </c>
      <c r="B73" s="26"/>
      <c r="C73" s="27" t="str">
        <f>IF($A73="","",VLOOKUP($A73,'Shipment Setup'!$A:$S,2,FALSE))</f>
        <v>Copenhagen</v>
      </c>
      <c r="D73" s="18"/>
      <c r="E73" s="19"/>
      <c r="F73" s="19"/>
      <c r="G73" s="19"/>
      <c r="H73" s="19"/>
      <c r="I73" s="20">
        <f>IF($A73="","",E73*VLOOKUP($A73,'Shipment Setup'!$A:$S,9,FALSE)+F73*VLOOKUP($A73,'Shipment Setup'!$A:$S,8,FALSE)+G73*VLOOKUP($A73,'Shipment Setup'!$A:$S,7,FALSE)+H73)</f>
        <v>0</v>
      </c>
      <c r="J73" s="21">
        <f t="array" ref="J73">IF(A73="","",IFERROR(XLOOKUP(A73,'Shipment Setup'!$A:$A,'Shipment Setup'!$O:$O,""),""))</f>
        <v>12</v>
      </c>
      <c r="K73" s="22">
        <f t="shared" si="1"/>
        <v>0</v>
      </c>
      <c r="L73" s="18"/>
      <c r="M73" s="18" t="s">
        <v>95</v>
      </c>
      <c r="N73" s="18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18" t="s">
        <v>56</v>
      </c>
      <c r="B74" s="26"/>
      <c r="C74" s="27" t="str">
        <f>IF($A74="","",VLOOKUP($A74,'Shipment Setup'!$A:$S,2,FALSE))</f>
        <v>Copenhagen</v>
      </c>
      <c r="D74" s="18"/>
      <c r="E74" s="19"/>
      <c r="F74" s="19"/>
      <c r="G74" s="19"/>
      <c r="H74" s="19"/>
      <c r="I74" s="20">
        <f>IF($A74="","",E74*VLOOKUP($A74,'Shipment Setup'!$A:$S,9,FALSE)+F74*VLOOKUP($A74,'Shipment Setup'!$A:$S,8,FALSE)+G74*VLOOKUP($A74,'Shipment Setup'!$A:$S,7,FALSE)+H74)</f>
        <v>0</v>
      </c>
      <c r="J74" s="21">
        <f t="array" ref="J74">IF(A74="","",IFERROR(XLOOKUP(A74,'Shipment Setup'!$A:$A,'Shipment Setup'!$O:$O,""),""))</f>
        <v>12</v>
      </c>
      <c r="K74" s="22">
        <f t="shared" si="1"/>
        <v>0</v>
      </c>
      <c r="L74" s="18"/>
      <c r="M74" s="18" t="s">
        <v>95</v>
      </c>
      <c r="N74" s="18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18" t="s">
        <v>56</v>
      </c>
      <c r="B75" s="26"/>
      <c r="C75" s="27" t="str">
        <f>IF($A75="","",VLOOKUP($A75,'Shipment Setup'!$A:$S,2,FALSE))</f>
        <v>Copenhagen</v>
      </c>
      <c r="D75" s="18"/>
      <c r="E75" s="19"/>
      <c r="F75" s="19"/>
      <c r="G75" s="19"/>
      <c r="H75" s="19"/>
      <c r="I75" s="20">
        <f>IF($A75="","",E75*VLOOKUP($A75,'Shipment Setup'!$A:$S,9,FALSE)+F75*VLOOKUP($A75,'Shipment Setup'!$A:$S,8,FALSE)+G75*VLOOKUP($A75,'Shipment Setup'!$A:$S,7,FALSE)+H75)</f>
        <v>0</v>
      </c>
      <c r="J75" s="21">
        <f t="array" ref="J75">IF(A75="","",IFERROR(XLOOKUP(A75,'Shipment Setup'!$A:$A,'Shipment Setup'!$O:$O,""),""))</f>
        <v>12</v>
      </c>
      <c r="K75" s="22">
        <f t="shared" si="1"/>
        <v>0</v>
      </c>
      <c r="L75" s="18"/>
      <c r="M75" s="18" t="s">
        <v>95</v>
      </c>
      <c r="N75" s="18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18" t="s">
        <v>56</v>
      </c>
      <c r="B76" s="26"/>
      <c r="C76" s="27" t="str">
        <f>IF($A76="","",VLOOKUP($A76,'Shipment Setup'!$A:$S,2,FALSE))</f>
        <v>Copenhagen</v>
      </c>
      <c r="D76" s="18"/>
      <c r="E76" s="19"/>
      <c r="F76" s="19"/>
      <c r="G76" s="19"/>
      <c r="H76" s="19"/>
      <c r="I76" s="20">
        <f>IF($A76="","",E76*VLOOKUP($A76,'Shipment Setup'!$A:$S,9,FALSE)+F76*VLOOKUP($A76,'Shipment Setup'!$A:$S,8,FALSE)+G76*VLOOKUP($A76,'Shipment Setup'!$A:$S,7,FALSE)+H76)</f>
        <v>0</v>
      </c>
      <c r="J76" s="21">
        <f t="array" ref="J76">IF(A76="","",IFERROR(XLOOKUP(A76,'Shipment Setup'!$A:$A,'Shipment Setup'!$O:$O,""),""))</f>
        <v>12</v>
      </c>
      <c r="K76" s="22">
        <f t="shared" si="1"/>
        <v>0</v>
      </c>
      <c r="L76" s="18"/>
      <c r="M76" s="18" t="s">
        <v>95</v>
      </c>
      <c r="N76" s="18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18" t="s">
        <v>56</v>
      </c>
      <c r="B77" s="26"/>
      <c r="C77" s="27" t="str">
        <f>IF($A77="","",VLOOKUP($A77,'Shipment Setup'!$A:$S,2,FALSE))</f>
        <v>Copenhagen</v>
      </c>
      <c r="D77" s="18"/>
      <c r="E77" s="19"/>
      <c r="F77" s="19"/>
      <c r="G77" s="19"/>
      <c r="H77" s="19"/>
      <c r="I77" s="20">
        <f>IF($A77="","",E77*VLOOKUP($A77,'Shipment Setup'!$A:$S,9,FALSE)+F77*VLOOKUP($A77,'Shipment Setup'!$A:$S,8,FALSE)+G77*VLOOKUP($A77,'Shipment Setup'!$A:$S,7,FALSE)+H77)</f>
        <v>0</v>
      </c>
      <c r="J77" s="21">
        <f t="array" ref="J77">IF(A77="","",IFERROR(XLOOKUP(A77,'Shipment Setup'!$A:$A,'Shipment Setup'!$O:$O,""),""))</f>
        <v>12</v>
      </c>
      <c r="K77" s="22">
        <f t="shared" si="1"/>
        <v>0</v>
      </c>
      <c r="L77" s="18"/>
      <c r="M77" s="18" t="s">
        <v>95</v>
      </c>
      <c r="N77" s="18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18" t="s">
        <v>56</v>
      </c>
      <c r="B78" s="26"/>
      <c r="C78" s="27" t="str">
        <f>IF($A78="","",VLOOKUP($A78,'Shipment Setup'!$A:$S,2,FALSE))</f>
        <v>Copenhagen</v>
      </c>
      <c r="D78" s="18"/>
      <c r="E78" s="19"/>
      <c r="F78" s="19"/>
      <c r="G78" s="19"/>
      <c r="H78" s="19"/>
      <c r="I78" s="20">
        <f>IF($A78="","",E78*VLOOKUP($A78,'Shipment Setup'!$A:$S,9,FALSE)+F78*VLOOKUP($A78,'Shipment Setup'!$A:$S,8,FALSE)+G78*VLOOKUP($A78,'Shipment Setup'!$A:$S,7,FALSE)+H78)</f>
        <v>0</v>
      </c>
      <c r="J78" s="21">
        <f t="array" ref="J78">IF(A78="","",IFERROR(XLOOKUP(A78,'Shipment Setup'!$A:$A,'Shipment Setup'!$O:$O,""),""))</f>
        <v>12</v>
      </c>
      <c r="K78" s="22">
        <f t="shared" si="1"/>
        <v>0</v>
      </c>
      <c r="L78" s="18"/>
      <c r="M78" s="18" t="s">
        <v>95</v>
      </c>
      <c r="N78" s="18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18" t="s">
        <v>56</v>
      </c>
      <c r="B79" s="26"/>
      <c r="C79" s="27" t="str">
        <f>IF($A79="","",VLOOKUP($A79,'Shipment Setup'!$A:$S,2,FALSE))</f>
        <v>Copenhagen</v>
      </c>
      <c r="D79" s="18"/>
      <c r="E79" s="19"/>
      <c r="F79" s="19"/>
      <c r="G79" s="19"/>
      <c r="H79" s="19"/>
      <c r="I79" s="20">
        <f>IF($A79="","",E79*VLOOKUP($A79,'Shipment Setup'!$A:$S,9,FALSE)+F79*VLOOKUP($A79,'Shipment Setup'!$A:$S,8,FALSE)+G79*VLOOKUP($A79,'Shipment Setup'!$A:$S,7,FALSE)+H79)</f>
        <v>0</v>
      </c>
      <c r="J79" s="21">
        <f t="array" ref="J79">IF(A79="","",IFERROR(XLOOKUP(A79,'Shipment Setup'!$A:$A,'Shipment Setup'!$O:$O,""),""))</f>
        <v>12</v>
      </c>
      <c r="K79" s="22">
        <f t="shared" si="1"/>
        <v>0</v>
      </c>
      <c r="L79" s="18"/>
      <c r="M79" s="18" t="s">
        <v>95</v>
      </c>
      <c r="N79" s="18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18" t="s">
        <v>56</v>
      </c>
      <c r="B80" s="26"/>
      <c r="C80" s="27" t="str">
        <f>IF($A80="","",VLOOKUP($A80,'Shipment Setup'!$A:$S,2,FALSE))</f>
        <v>Copenhagen</v>
      </c>
      <c r="D80" s="18"/>
      <c r="E80" s="19"/>
      <c r="F80" s="19"/>
      <c r="G80" s="19"/>
      <c r="H80" s="19"/>
      <c r="I80" s="20">
        <f>IF($A80="","",E80*VLOOKUP($A80,'Shipment Setup'!$A:$S,9,FALSE)+F80*VLOOKUP($A80,'Shipment Setup'!$A:$S,8,FALSE)+G80*VLOOKUP($A80,'Shipment Setup'!$A:$S,7,FALSE)+H80)</f>
        <v>0</v>
      </c>
      <c r="J80" s="21">
        <f t="array" ref="J80">IF(A80="","",IFERROR(XLOOKUP(A80,'Shipment Setup'!$A:$A,'Shipment Setup'!$O:$O,""),""))</f>
        <v>12</v>
      </c>
      <c r="K80" s="22">
        <f t="shared" si="1"/>
        <v>0</v>
      </c>
      <c r="L80" s="18"/>
      <c r="M80" s="18" t="s">
        <v>95</v>
      </c>
      <c r="N80" s="18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18" t="s">
        <v>56</v>
      </c>
      <c r="B81" s="26"/>
      <c r="C81" s="27" t="str">
        <f>IF($A81="","",VLOOKUP($A81,'Shipment Setup'!$A:$S,2,FALSE))</f>
        <v>Copenhagen</v>
      </c>
      <c r="D81" s="18"/>
      <c r="E81" s="19"/>
      <c r="F81" s="19"/>
      <c r="G81" s="19"/>
      <c r="H81" s="19"/>
      <c r="I81" s="20">
        <f>IF($A81="","",E81*VLOOKUP($A81,'Shipment Setup'!$A:$S,9,FALSE)+F81*VLOOKUP($A81,'Shipment Setup'!$A:$S,8,FALSE)+G81*VLOOKUP($A81,'Shipment Setup'!$A:$S,7,FALSE)+H81)</f>
        <v>0</v>
      </c>
      <c r="J81" s="21">
        <f t="array" ref="J81">IF(A81="","",IFERROR(XLOOKUP(A81,'Shipment Setup'!$A:$A,'Shipment Setup'!$O:$O,""),""))</f>
        <v>12</v>
      </c>
      <c r="K81" s="22">
        <f t="shared" si="1"/>
        <v>0</v>
      </c>
      <c r="L81" s="18"/>
      <c r="M81" s="18" t="s">
        <v>95</v>
      </c>
      <c r="N81" s="18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18" t="s">
        <v>56</v>
      </c>
      <c r="B82" s="26"/>
      <c r="C82" s="27" t="str">
        <f>IF($A82="","",VLOOKUP($A82,'Shipment Setup'!$A:$S,2,FALSE))</f>
        <v>Copenhagen</v>
      </c>
      <c r="D82" s="18"/>
      <c r="E82" s="19"/>
      <c r="F82" s="19"/>
      <c r="G82" s="19"/>
      <c r="H82" s="19"/>
      <c r="I82" s="20">
        <f>IF($A82="","",E82*VLOOKUP($A82,'Shipment Setup'!$A:$S,9,FALSE)+F82*VLOOKUP($A82,'Shipment Setup'!$A:$S,8,FALSE)+G82*VLOOKUP($A82,'Shipment Setup'!$A:$S,7,FALSE)+H82)</f>
        <v>0</v>
      </c>
      <c r="J82" s="21">
        <f t="array" ref="J82">IF(A82="","",IFERROR(XLOOKUP(A82,'Shipment Setup'!$A:$A,'Shipment Setup'!$O:$O,""),""))</f>
        <v>12</v>
      </c>
      <c r="K82" s="22">
        <f t="shared" si="1"/>
        <v>0</v>
      </c>
      <c r="L82" s="18"/>
      <c r="M82" s="18" t="s">
        <v>95</v>
      </c>
      <c r="N82" s="18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18" t="s">
        <v>56</v>
      </c>
      <c r="B83" s="26"/>
      <c r="C83" s="27" t="str">
        <f>IF($A83="","",VLOOKUP($A83,'Shipment Setup'!$A:$S,2,FALSE))</f>
        <v>Copenhagen</v>
      </c>
      <c r="D83" s="18"/>
      <c r="E83" s="19"/>
      <c r="F83" s="19"/>
      <c r="G83" s="19"/>
      <c r="H83" s="19"/>
      <c r="I83" s="20">
        <f>IF($A83="","",E83*VLOOKUP($A83,'Shipment Setup'!$A:$S,9,FALSE)+F83*VLOOKUP($A83,'Shipment Setup'!$A:$S,8,FALSE)+G83*VLOOKUP($A83,'Shipment Setup'!$A:$S,7,FALSE)+H83)</f>
        <v>0</v>
      </c>
      <c r="J83" s="21">
        <f t="array" ref="J83">IF(A83="","",IFERROR(XLOOKUP(A83,'Shipment Setup'!$A:$A,'Shipment Setup'!$O:$O,""),""))</f>
        <v>12</v>
      </c>
      <c r="K83" s="22">
        <f t="shared" si="1"/>
        <v>0</v>
      </c>
      <c r="L83" s="18"/>
      <c r="M83" s="18" t="s">
        <v>95</v>
      </c>
      <c r="N83" s="18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18" t="s">
        <v>56</v>
      </c>
      <c r="B84" s="26"/>
      <c r="C84" s="27" t="str">
        <f>IF($A84="","",VLOOKUP($A84,'Shipment Setup'!$A:$S,2,FALSE))</f>
        <v>Copenhagen</v>
      </c>
      <c r="D84" s="18"/>
      <c r="E84" s="19"/>
      <c r="F84" s="19"/>
      <c r="G84" s="19"/>
      <c r="H84" s="19"/>
      <c r="I84" s="20">
        <f>IF($A84="","",E84*VLOOKUP($A84,'Shipment Setup'!$A:$S,9,FALSE)+F84*VLOOKUP($A84,'Shipment Setup'!$A:$S,8,FALSE)+G84*VLOOKUP($A84,'Shipment Setup'!$A:$S,7,FALSE)+H84)</f>
        <v>0</v>
      </c>
      <c r="J84" s="21">
        <f t="array" ref="J84">IF(A84="","",IFERROR(XLOOKUP(A84,'Shipment Setup'!$A:$A,'Shipment Setup'!$O:$O,""),""))</f>
        <v>12</v>
      </c>
      <c r="K84" s="22">
        <f t="shared" si="1"/>
        <v>0</v>
      </c>
      <c r="L84" s="18"/>
      <c r="M84" s="18" t="s">
        <v>95</v>
      </c>
      <c r="N84" s="18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18" t="s">
        <v>56</v>
      </c>
      <c r="B85" s="26"/>
      <c r="C85" s="27" t="str">
        <f>IF($A85="","",VLOOKUP($A85,'Shipment Setup'!$A:$S,2,FALSE))</f>
        <v>Copenhagen</v>
      </c>
      <c r="D85" s="18"/>
      <c r="E85" s="19"/>
      <c r="F85" s="19"/>
      <c r="G85" s="19"/>
      <c r="H85" s="19"/>
      <c r="I85" s="20">
        <f>IF($A85="","",E85*VLOOKUP($A85,'Shipment Setup'!$A:$S,9,FALSE)+F85*VLOOKUP($A85,'Shipment Setup'!$A:$S,8,FALSE)+G85*VLOOKUP($A85,'Shipment Setup'!$A:$S,7,FALSE)+H85)</f>
        <v>0</v>
      </c>
      <c r="J85" s="21">
        <f t="array" ref="J85">IF(A85="","",IFERROR(XLOOKUP(A85,'Shipment Setup'!$A:$A,'Shipment Setup'!$O:$O,""),""))</f>
        <v>12</v>
      </c>
      <c r="K85" s="22">
        <f t="shared" si="1"/>
        <v>0</v>
      </c>
      <c r="L85" s="18"/>
      <c r="M85" s="18" t="s">
        <v>95</v>
      </c>
      <c r="N85" s="18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18" t="s">
        <v>56</v>
      </c>
      <c r="B86" s="26"/>
      <c r="C86" s="27" t="str">
        <f>IF($A86="","",VLOOKUP($A86,'Shipment Setup'!$A:$S,2,FALSE))</f>
        <v>Copenhagen</v>
      </c>
      <c r="D86" s="18"/>
      <c r="E86" s="19"/>
      <c r="F86" s="19"/>
      <c r="G86" s="19"/>
      <c r="H86" s="19"/>
      <c r="I86" s="20">
        <f>IF($A86="","",E86*VLOOKUP($A86,'Shipment Setup'!$A:$S,9,FALSE)+F86*VLOOKUP($A86,'Shipment Setup'!$A:$S,8,FALSE)+G86*VLOOKUP($A86,'Shipment Setup'!$A:$S,7,FALSE)+H86)</f>
        <v>0</v>
      </c>
      <c r="J86" s="21">
        <f t="array" ref="J86">IF(A86="","",IFERROR(XLOOKUP(A86,'Shipment Setup'!$A:$A,'Shipment Setup'!$O:$O,""),""))</f>
        <v>12</v>
      </c>
      <c r="K86" s="22">
        <f t="shared" si="1"/>
        <v>0</v>
      </c>
      <c r="L86" s="18"/>
      <c r="M86" s="18" t="s">
        <v>95</v>
      </c>
      <c r="N86" s="18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18" t="s">
        <v>56</v>
      </c>
      <c r="B87" s="26"/>
      <c r="C87" s="27" t="str">
        <f>IF($A87="","",VLOOKUP($A87,'Shipment Setup'!$A:$S,2,FALSE))</f>
        <v>Copenhagen</v>
      </c>
      <c r="D87" s="18"/>
      <c r="E87" s="19"/>
      <c r="F87" s="19"/>
      <c r="G87" s="19"/>
      <c r="H87" s="19"/>
      <c r="I87" s="20">
        <f>IF($A87="","",E87*VLOOKUP($A87,'Shipment Setup'!$A:$S,9,FALSE)+F87*VLOOKUP($A87,'Shipment Setup'!$A:$S,8,FALSE)+G87*VLOOKUP($A87,'Shipment Setup'!$A:$S,7,FALSE)+H87)</f>
        <v>0</v>
      </c>
      <c r="J87" s="21">
        <f t="array" ref="J87">IF(A87="","",IFERROR(XLOOKUP(A87,'Shipment Setup'!$A:$A,'Shipment Setup'!$O:$O,""),""))</f>
        <v>12</v>
      </c>
      <c r="K87" s="22">
        <f t="shared" si="1"/>
        <v>0</v>
      </c>
      <c r="L87" s="18"/>
      <c r="M87" s="18" t="s">
        <v>95</v>
      </c>
      <c r="N87" s="18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18" t="s">
        <v>56</v>
      </c>
      <c r="B88" s="26"/>
      <c r="C88" s="27" t="str">
        <f>IF($A88="","",VLOOKUP($A88,'Shipment Setup'!$A:$S,2,FALSE))</f>
        <v>Copenhagen</v>
      </c>
      <c r="D88" s="18"/>
      <c r="E88" s="19"/>
      <c r="F88" s="19"/>
      <c r="G88" s="19"/>
      <c r="H88" s="19"/>
      <c r="I88" s="20">
        <f>IF($A88="","",E88*VLOOKUP($A88,'Shipment Setup'!$A:$S,9,FALSE)+F88*VLOOKUP($A88,'Shipment Setup'!$A:$S,8,FALSE)+G88*VLOOKUP($A88,'Shipment Setup'!$A:$S,7,FALSE)+H88)</f>
        <v>0</v>
      </c>
      <c r="J88" s="21">
        <f t="array" ref="J88">IF(A88="","",IFERROR(XLOOKUP(A88,'Shipment Setup'!$A:$A,'Shipment Setup'!$O:$O,""),""))</f>
        <v>12</v>
      </c>
      <c r="K88" s="22">
        <f t="shared" si="1"/>
        <v>0</v>
      </c>
      <c r="L88" s="18"/>
      <c r="M88" s="18" t="s">
        <v>95</v>
      </c>
      <c r="N88" s="18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18" t="s">
        <v>56</v>
      </c>
      <c r="B89" s="26"/>
      <c r="C89" s="27" t="str">
        <f>IF($A89="","",VLOOKUP($A89,'Shipment Setup'!$A:$S,2,FALSE))</f>
        <v>Copenhagen</v>
      </c>
      <c r="D89" s="18"/>
      <c r="E89" s="19"/>
      <c r="F89" s="19"/>
      <c r="G89" s="19"/>
      <c r="H89" s="19"/>
      <c r="I89" s="20">
        <f>IF($A89="","",E89*VLOOKUP($A89,'Shipment Setup'!$A:$S,9,FALSE)+F89*VLOOKUP($A89,'Shipment Setup'!$A:$S,8,FALSE)+G89*VLOOKUP($A89,'Shipment Setup'!$A:$S,7,FALSE)+H89)</f>
        <v>0</v>
      </c>
      <c r="J89" s="21">
        <f t="array" ref="J89">IF(A89="","",IFERROR(XLOOKUP(A89,'Shipment Setup'!$A:$A,'Shipment Setup'!$O:$O,""),""))</f>
        <v>12</v>
      </c>
      <c r="K89" s="22">
        <f t="shared" si="1"/>
        <v>0</v>
      </c>
      <c r="L89" s="18"/>
      <c r="M89" s="18" t="s">
        <v>95</v>
      </c>
      <c r="N89" s="18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18" t="s">
        <v>56</v>
      </c>
      <c r="B90" s="26"/>
      <c r="C90" s="27" t="str">
        <f>IF($A90="","",VLOOKUP($A90,'Shipment Setup'!$A:$S,2,FALSE))</f>
        <v>Copenhagen</v>
      </c>
      <c r="D90" s="18"/>
      <c r="E90" s="19"/>
      <c r="F90" s="19"/>
      <c r="G90" s="19"/>
      <c r="H90" s="19"/>
      <c r="I90" s="20">
        <f>IF($A90="","",E90*VLOOKUP($A90,'Shipment Setup'!$A:$S,9,FALSE)+F90*VLOOKUP($A90,'Shipment Setup'!$A:$S,8,FALSE)+G90*VLOOKUP($A90,'Shipment Setup'!$A:$S,7,FALSE)+H90)</f>
        <v>0</v>
      </c>
      <c r="J90" s="21">
        <f t="array" ref="J90">IF(A90="","",IFERROR(XLOOKUP(A90,'Shipment Setup'!$A:$A,'Shipment Setup'!$O:$O,""),""))</f>
        <v>12</v>
      </c>
      <c r="K90" s="22">
        <f t="shared" si="1"/>
        <v>0</v>
      </c>
      <c r="L90" s="18"/>
      <c r="M90" s="18" t="s">
        <v>95</v>
      </c>
      <c r="N90" s="18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18" t="s">
        <v>56</v>
      </c>
      <c r="B91" s="26"/>
      <c r="C91" s="27" t="str">
        <f>IF($A91="","",VLOOKUP($A91,'Shipment Setup'!$A:$S,2,FALSE))</f>
        <v>Copenhagen</v>
      </c>
      <c r="D91" s="18"/>
      <c r="E91" s="19"/>
      <c r="F91" s="19"/>
      <c r="G91" s="19"/>
      <c r="H91" s="19"/>
      <c r="I91" s="20">
        <f>IF($A91="","",E91*VLOOKUP($A91,'Shipment Setup'!$A:$S,9,FALSE)+F91*VLOOKUP($A91,'Shipment Setup'!$A:$S,8,FALSE)+G91*VLOOKUP($A91,'Shipment Setup'!$A:$S,7,FALSE)+H91)</f>
        <v>0</v>
      </c>
      <c r="J91" s="21">
        <f t="array" ref="J91">IF(A91="","",IFERROR(XLOOKUP(A91,'Shipment Setup'!$A:$A,'Shipment Setup'!$O:$O,""),""))</f>
        <v>12</v>
      </c>
      <c r="K91" s="22">
        <f t="shared" si="1"/>
        <v>0</v>
      </c>
      <c r="L91" s="18"/>
      <c r="M91" s="18" t="s">
        <v>95</v>
      </c>
      <c r="N91" s="18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18" t="s">
        <v>56</v>
      </c>
      <c r="B92" s="26"/>
      <c r="C92" s="27" t="str">
        <f>IF($A92="","",VLOOKUP($A92,'Shipment Setup'!$A:$S,2,FALSE))</f>
        <v>Copenhagen</v>
      </c>
      <c r="D92" s="18"/>
      <c r="E92" s="19"/>
      <c r="F92" s="19"/>
      <c r="G92" s="19"/>
      <c r="H92" s="19"/>
      <c r="I92" s="20">
        <f>IF($A92="","",E92*VLOOKUP($A92,'Shipment Setup'!$A:$S,9,FALSE)+F92*VLOOKUP($A92,'Shipment Setup'!$A:$S,8,FALSE)+G92*VLOOKUP($A92,'Shipment Setup'!$A:$S,7,FALSE)+H92)</f>
        <v>0</v>
      </c>
      <c r="J92" s="21">
        <f t="array" ref="J92">IF(A92="","",IFERROR(XLOOKUP(A92,'Shipment Setup'!$A:$A,'Shipment Setup'!$O:$O,""),""))</f>
        <v>12</v>
      </c>
      <c r="K92" s="22">
        <f t="shared" si="1"/>
        <v>0</v>
      </c>
      <c r="L92" s="18"/>
      <c r="M92" s="18" t="s">
        <v>95</v>
      </c>
      <c r="N92" s="18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18" t="s">
        <v>56</v>
      </c>
      <c r="B93" s="26"/>
      <c r="C93" s="27" t="str">
        <f>IF($A93="","",VLOOKUP($A93,'Shipment Setup'!$A:$S,2,FALSE))</f>
        <v>Copenhagen</v>
      </c>
      <c r="D93" s="18"/>
      <c r="E93" s="19"/>
      <c r="F93" s="19"/>
      <c r="G93" s="19"/>
      <c r="H93" s="19"/>
      <c r="I93" s="20">
        <f>IF($A93="","",E93*VLOOKUP($A93,'Shipment Setup'!$A:$S,9,FALSE)+F93*VLOOKUP($A93,'Shipment Setup'!$A:$S,8,FALSE)+G93*VLOOKUP($A93,'Shipment Setup'!$A:$S,7,FALSE)+H93)</f>
        <v>0</v>
      </c>
      <c r="J93" s="21">
        <f t="array" ref="J93">IF(A93="","",IFERROR(XLOOKUP(A93,'Shipment Setup'!$A:$A,'Shipment Setup'!$O:$O,""),""))</f>
        <v>12</v>
      </c>
      <c r="K93" s="22">
        <f t="shared" si="1"/>
        <v>0</v>
      </c>
      <c r="L93" s="18"/>
      <c r="M93" s="18" t="s">
        <v>95</v>
      </c>
      <c r="N93" s="18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18" t="s">
        <v>56</v>
      </c>
      <c r="B94" s="26"/>
      <c r="C94" s="27" t="str">
        <f>IF($A94="","",VLOOKUP($A94,'Shipment Setup'!$A:$S,2,FALSE))</f>
        <v>Copenhagen</v>
      </c>
      <c r="D94" s="18"/>
      <c r="E94" s="19"/>
      <c r="F94" s="19"/>
      <c r="G94" s="19"/>
      <c r="H94" s="19"/>
      <c r="I94" s="20">
        <f>IF($A94="","",E94*VLOOKUP($A94,'Shipment Setup'!$A:$S,9,FALSE)+F94*VLOOKUP($A94,'Shipment Setup'!$A:$S,8,FALSE)+G94*VLOOKUP($A94,'Shipment Setup'!$A:$S,7,FALSE)+H94)</f>
        <v>0</v>
      </c>
      <c r="J94" s="21">
        <f t="array" ref="J94">IF(A94="","",IFERROR(XLOOKUP(A94,'Shipment Setup'!$A:$A,'Shipment Setup'!$O:$O,""),""))</f>
        <v>12</v>
      </c>
      <c r="K94" s="22">
        <f t="shared" si="1"/>
        <v>0</v>
      </c>
      <c r="L94" s="18"/>
      <c r="M94" s="18" t="s">
        <v>95</v>
      </c>
      <c r="N94" s="18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18" t="s">
        <v>56</v>
      </c>
      <c r="B95" s="26"/>
      <c r="C95" s="27" t="str">
        <f>IF($A95="","",VLOOKUP($A95,'Shipment Setup'!$A:$S,2,FALSE))</f>
        <v>Copenhagen</v>
      </c>
      <c r="D95" s="18"/>
      <c r="E95" s="19"/>
      <c r="F95" s="19"/>
      <c r="G95" s="19"/>
      <c r="H95" s="19"/>
      <c r="I95" s="20">
        <f>IF($A95="","",E95*VLOOKUP($A95,'Shipment Setup'!$A:$S,9,FALSE)+F95*VLOOKUP($A95,'Shipment Setup'!$A:$S,8,FALSE)+G95*VLOOKUP($A95,'Shipment Setup'!$A:$S,7,FALSE)+H95)</f>
        <v>0</v>
      </c>
      <c r="J95" s="21">
        <f t="array" ref="J95">IF(A95="","",IFERROR(XLOOKUP(A95,'Shipment Setup'!$A:$A,'Shipment Setup'!$O:$O,""),""))</f>
        <v>12</v>
      </c>
      <c r="K95" s="22">
        <f t="shared" si="1"/>
        <v>0</v>
      </c>
      <c r="L95" s="18"/>
      <c r="M95" s="18" t="s">
        <v>95</v>
      </c>
      <c r="N95" s="18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18" t="s">
        <v>56</v>
      </c>
      <c r="B96" s="26"/>
      <c r="C96" s="27" t="str">
        <f>IF($A96="","",VLOOKUP($A96,'Shipment Setup'!$A:$S,2,FALSE))</f>
        <v>Copenhagen</v>
      </c>
      <c r="D96" s="18"/>
      <c r="E96" s="19"/>
      <c r="F96" s="19"/>
      <c r="G96" s="19"/>
      <c r="H96" s="19"/>
      <c r="I96" s="20">
        <f>IF($A96="","",E96*VLOOKUP($A96,'Shipment Setup'!$A:$S,9,FALSE)+F96*VLOOKUP($A96,'Shipment Setup'!$A:$S,8,FALSE)+G96*VLOOKUP($A96,'Shipment Setup'!$A:$S,7,FALSE)+H96)</f>
        <v>0</v>
      </c>
      <c r="J96" s="21">
        <f t="array" ref="J96">IF(A96="","",IFERROR(XLOOKUP(A96,'Shipment Setup'!$A:$A,'Shipment Setup'!$O:$O,""),""))</f>
        <v>12</v>
      </c>
      <c r="K96" s="22">
        <f t="shared" si="1"/>
        <v>0</v>
      </c>
      <c r="L96" s="18"/>
      <c r="M96" s="18" t="s">
        <v>95</v>
      </c>
      <c r="N96" s="18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18" t="s">
        <v>56</v>
      </c>
      <c r="B97" s="26"/>
      <c r="C97" s="27" t="str">
        <f>IF($A97="","",VLOOKUP($A97,'Shipment Setup'!$A:$S,2,FALSE))</f>
        <v>Copenhagen</v>
      </c>
      <c r="D97" s="18"/>
      <c r="E97" s="19"/>
      <c r="F97" s="19"/>
      <c r="G97" s="19"/>
      <c r="H97" s="19"/>
      <c r="I97" s="20">
        <f>IF($A97="","",E97*VLOOKUP($A97,'Shipment Setup'!$A:$S,9,FALSE)+F97*VLOOKUP($A97,'Shipment Setup'!$A:$S,8,FALSE)+G97*VLOOKUP($A97,'Shipment Setup'!$A:$S,7,FALSE)+H97)</f>
        <v>0</v>
      </c>
      <c r="J97" s="21">
        <f t="array" ref="J97">IF(A97="","",IFERROR(XLOOKUP(A97,'Shipment Setup'!$A:$A,'Shipment Setup'!$O:$O,""),""))</f>
        <v>12</v>
      </c>
      <c r="K97" s="22">
        <f t="shared" si="1"/>
        <v>0</v>
      </c>
      <c r="L97" s="18"/>
      <c r="M97" s="18" t="s">
        <v>95</v>
      </c>
      <c r="N97" s="18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18" t="s">
        <v>56</v>
      </c>
      <c r="B98" s="26"/>
      <c r="C98" s="27" t="str">
        <f>IF($A98="","",VLOOKUP($A98,'Shipment Setup'!$A:$S,2,FALSE))</f>
        <v>Copenhagen</v>
      </c>
      <c r="D98" s="18"/>
      <c r="E98" s="19"/>
      <c r="F98" s="19"/>
      <c r="G98" s="19"/>
      <c r="H98" s="19"/>
      <c r="I98" s="20">
        <f>IF($A98="","",E98*VLOOKUP($A98,'Shipment Setup'!$A:$S,9,FALSE)+F98*VLOOKUP($A98,'Shipment Setup'!$A:$S,8,FALSE)+G98*VLOOKUP($A98,'Shipment Setup'!$A:$S,7,FALSE)+H98)</f>
        <v>0</v>
      </c>
      <c r="J98" s="21">
        <f t="array" ref="J98">IF(A98="","",IFERROR(XLOOKUP(A98,'Shipment Setup'!$A:$A,'Shipment Setup'!$O:$O,""),""))</f>
        <v>12</v>
      </c>
      <c r="K98" s="22">
        <f t="shared" si="1"/>
        <v>0</v>
      </c>
      <c r="L98" s="18"/>
      <c r="M98" s="18" t="s">
        <v>95</v>
      </c>
      <c r="N98" s="18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18" t="s">
        <v>56</v>
      </c>
      <c r="B99" s="26"/>
      <c r="C99" s="27" t="str">
        <f>IF($A99="","",VLOOKUP($A99,'Shipment Setup'!$A:$S,2,FALSE))</f>
        <v>Copenhagen</v>
      </c>
      <c r="D99" s="18"/>
      <c r="E99" s="19"/>
      <c r="F99" s="19"/>
      <c r="G99" s="19"/>
      <c r="H99" s="19"/>
      <c r="I99" s="20">
        <f>IF($A99="","",E99*VLOOKUP($A99,'Shipment Setup'!$A:$S,9,FALSE)+F99*VLOOKUP($A99,'Shipment Setup'!$A:$S,8,FALSE)+G99*VLOOKUP($A99,'Shipment Setup'!$A:$S,7,FALSE)+H99)</f>
        <v>0</v>
      </c>
      <c r="J99" s="21">
        <f t="array" ref="J99">IF(A99="","",IFERROR(XLOOKUP(A99,'Shipment Setup'!$A:$A,'Shipment Setup'!$O:$O,""),""))</f>
        <v>12</v>
      </c>
      <c r="K99" s="22">
        <f t="shared" si="1"/>
        <v>0</v>
      </c>
      <c r="L99" s="18"/>
      <c r="M99" s="18" t="s">
        <v>95</v>
      </c>
      <c r="N99" s="18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18" t="s">
        <v>56</v>
      </c>
      <c r="B100" s="26"/>
      <c r="C100" s="27" t="str">
        <f>IF($A100="","",VLOOKUP($A100,'Shipment Setup'!$A:$S,2,FALSE))</f>
        <v>Copenhagen</v>
      </c>
      <c r="D100" s="18"/>
      <c r="E100" s="19"/>
      <c r="F100" s="19"/>
      <c r="G100" s="19"/>
      <c r="H100" s="19"/>
      <c r="I100" s="20">
        <f>IF($A100="","",E100*VLOOKUP($A100,'Shipment Setup'!$A:$S,9,FALSE)+F100*VLOOKUP($A100,'Shipment Setup'!$A:$S,8,FALSE)+G100*VLOOKUP($A100,'Shipment Setup'!$A:$S,7,FALSE)+H100)</f>
        <v>0</v>
      </c>
      <c r="J100" s="21">
        <f t="array" ref="J100">IF(A100="","",IFERROR(XLOOKUP(A100,'Shipment Setup'!$A:$A,'Shipment Setup'!$O:$O,""),""))</f>
        <v>12</v>
      </c>
      <c r="K100" s="22">
        <f t="shared" si="1"/>
        <v>0</v>
      </c>
      <c r="L100" s="18"/>
      <c r="M100" s="18" t="s">
        <v>95</v>
      </c>
      <c r="N100" s="18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18" t="s">
        <v>56</v>
      </c>
      <c r="B101" s="26"/>
      <c r="C101" s="27" t="str">
        <f>IF($A101="","",VLOOKUP($A101,'Shipment Setup'!$A:$S,2,FALSE))</f>
        <v>Copenhagen</v>
      </c>
      <c r="D101" s="18"/>
      <c r="E101" s="19"/>
      <c r="F101" s="19"/>
      <c r="G101" s="19"/>
      <c r="H101" s="19"/>
      <c r="I101" s="20">
        <f>IF($A101="","",E101*VLOOKUP($A101,'Shipment Setup'!$A:$S,9,FALSE)+F101*VLOOKUP($A101,'Shipment Setup'!$A:$S,8,FALSE)+G101*VLOOKUP($A101,'Shipment Setup'!$A:$S,7,FALSE)+H101)</f>
        <v>0</v>
      </c>
      <c r="J101" s="21">
        <f t="array" ref="J101">IF(A101="","",IFERROR(XLOOKUP(A101,'Shipment Setup'!$A:$A,'Shipment Setup'!$O:$O,""),""))</f>
        <v>12</v>
      </c>
      <c r="K101" s="22">
        <f t="shared" si="1"/>
        <v>0</v>
      </c>
      <c r="L101" s="18"/>
      <c r="M101" s="18" t="s">
        <v>95</v>
      </c>
      <c r="N101" s="18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qref="L2:L101">
      <formula1>"Clenny,Clanny"</formula1>
    </dataValidation>
    <dataValidation type="list" allowBlank="1" sqref="M2:M101">
      <formula1>"Paid,Pending,Partial"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5.75"/>
    <col customWidth="1" min="2" max="2" width="9.88"/>
    <col customWidth="1" min="3" max="3" width="16.0"/>
    <col customWidth="1" min="4" max="4" width="18.0"/>
    <col customWidth="1" min="5" max="26" width="8.63"/>
  </cols>
  <sheetData>
    <row r="1" ht="27.75" customHeight="1">
      <c r="A1" s="28" t="s">
        <v>96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">
        <v>1</v>
      </c>
      <c r="B2" s="5" t="s">
        <v>56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5" t="s">
        <v>45</v>
      </c>
      <c r="B3" s="5" t="str">
        <f>B2</f>
        <v>SHP-002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7" t="s">
        <v>22</v>
      </c>
      <c r="B4" s="12">
        <f t="array" ref="B4">IF($B$3="","",XLOOKUP($B$3,'Shipment Setup'!$A:$A,'Shipment Setup'!$N:$N,""))</f>
        <v>7296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7" t="s">
        <v>97</v>
      </c>
      <c r="B5" s="12">
        <f t="array" ref="B5">IF($B$3="","",XLOOKUP($B$3,'Shipment Setup'!$A:$A,'Shipment Setup'!$Q:$Q,""))</f>
        <v>501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7" t="s">
        <v>98</v>
      </c>
      <c r="B6" s="12">
        <f t="array" ref="B6">IF($B$3="","",XLOOKUP($B$3,'Shipment Setup'!$A:$A,'Shipment Setup'!$R:$R,""))</f>
        <v>6795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7" t="s">
        <v>99</v>
      </c>
      <c r="B7" s="12">
        <f>SUMIFS('Operations Ledger'!E:E,'Operations Ledger'!A:A,$B$3,'Operations Ledger'!B:B,"Clenny",'Operations Ledger'!F:F,"Yes")</f>
        <v>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7" t="s">
        <v>100</v>
      </c>
      <c r="B8" s="12">
        <f>SUMIFS('Operations Ledger'!E:E,'Operations Ledger'!A:A,$B$3,'Operations Ledger'!B:B,"Clanny",'Operations Ledger'!F:F,"Yes")</f>
        <v>556.86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7" t="s">
        <v>101</v>
      </c>
      <c r="B9" s="12">
        <f>B7+B8</f>
        <v>556.86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7" t="s">
        <v>102</v>
      </c>
      <c r="B10" s="12">
        <f>B4+B9</f>
        <v>7852.86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7"/>
      <c r="B11" s="12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7" t="s">
        <v>103</v>
      </c>
      <c r="B12" s="12">
        <f t="shared" ref="B12:B13" si="1">B5+B7</f>
        <v>501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7" t="s">
        <v>104</v>
      </c>
      <c r="B13" s="12">
        <f t="shared" si="1"/>
        <v>7351.86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7" t="s">
        <v>40</v>
      </c>
      <c r="B14" s="16">
        <f>IF(B10=0,0,B12/B10)</f>
        <v>0.0637984123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7" t="s">
        <v>41</v>
      </c>
      <c r="B15" s="16">
        <f>IF(B10=0,0,B13/B10)</f>
        <v>0.9362015877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7"/>
      <c r="B16" s="8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7" t="s">
        <v>105</v>
      </c>
      <c r="B17" s="12">
        <f>SUMIFS('Sales Ledger'!K:K,'Sales Ledger'!A:A,$B$3)</f>
        <v>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7" t="s">
        <v>106</v>
      </c>
      <c r="B18" s="12">
        <f t="array" ref="B18">IF($B$3="","",XLOOKUP($B$3,'Shipment Setup'!$A:$A,'Shipment Setup'!$P:$P,""))</f>
        <v>12960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7" t="s">
        <v>107</v>
      </c>
      <c r="B19" s="12">
        <f>B18-B10</f>
        <v>5107.14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7" t="s">
        <v>108</v>
      </c>
      <c r="B20" s="12">
        <f>B17-B10</f>
        <v>-7852.86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7"/>
      <c r="B21" s="12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7" t="s">
        <v>109</v>
      </c>
      <c r="B22" s="12">
        <f>B19*B14</f>
        <v>325.8274234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7" t="s">
        <v>110</v>
      </c>
      <c r="B23" s="12">
        <f>B19*B15</f>
        <v>4781.312577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7" t="s">
        <v>42</v>
      </c>
      <c r="B24" s="12">
        <f t="shared" ref="B24:B25" si="2">B12+B22</f>
        <v>826.8274234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7" t="s">
        <v>43</v>
      </c>
      <c r="B25" s="12">
        <f t="shared" si="2"/>
        <v>12133.17258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7"/>
      <c r="B26" s="12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7" t="s">
        <v>111</v>
      </c>
      <c r="B27" s="12">
        <f>SUMIFS('Sales Ledger'!K:K,'Sales Ledger'!A:A,$B$3,'Sales Ledger'!L:L,"Clenny")</f>
        <v>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7" t="s">
        <v>112</v>
      </c>
      <c r="B28" s="12">
        <f>SUMIFS('Sales Ledger'!K:K,'Sales Ledger'!A:A,$B$3,'Sales Ledger'!L:L,"Clanny")</f>
        <v>0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7" t="s">
        <v>113</v>
      </c>
      <c r="B29" s="11">
        <f>SUMIFS('Sales Ledger'!I:I,'Sales Ledger'!A:A,$B$3)</f>
        <v>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7" t="s">
        <v>44</v>
      </c>
      <c r="B30" s="11">
        <f t="array" ref="B30">IF($B$3="",0,MAX(0,XLOOKUP($B$3,'Shipment Setup'!$A:$A,'Shipment Setup'!$L:$L,0)-B29))</f>
        <v>1080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7" t="s">
        <v>114</v>
      </c>
      <c r="B31" s="12">
        <f t="array" ref="B31">IF($B$3="",0,B30*XLOOKUP($B$3,'Shipment Setup'!$A:$A,'Shipment Setup'!$O:$O,0))</f>
        <v>12960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7"/>
      <c r="B32" s="12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7" t="s">
        <v>115</v>
      </c>
      <c r="B33" s="12">
        <f t="shared" ref="B33:B34" si="3">B24-B27</f>
        <v>826.8274234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7" t="s">
        <v>116</v>
      </c>
      <c r="B34" s="12">
        <f t="shared" si="3"/>
        <v>12133.17258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7"/>
      <c r="B35" s="12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7" t="s">
        <v>117</v>
      </c>
      <c r="B36" s="12">
        <f>B24+B25-B18</f>
        <v>0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7" t="s">
        <v>118</v>
      </c>
      <c r="B37" s="12">
        <f>B12+B13-B10</f>
        <v>0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conditionalFormatting sqref="B36:B37">
    <cfRule type="expression" dxfId="0" priority="1">
      <formula>ABS(B36)&lt;0.01</formula>
    </cfRule>
  </conditionalFormatting>
  <conditionalFormatting sqref="B36:B37">
    <cfRule type="expression" dxfId="1" priority="2">
      <formula>ABS(B36)&gt;=0.01</formula>
    </cfRule>
  </conditionalFormatting>
  <dataValidations>
    <dataValidation type="list" allowBlank="1" showErrorMessage="1" sqref="B2">
      <formula1>'Shipment Setup'!$A$2:$A$51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46.0"/>
    <col customWidth="1" min="3" max="3" width="24.0"/>
    <col customWidth="1" min="4" max="4" width="22.0"/>
    <col customWidth="1" min="5" max="5" width="48.0"/>
    <col customWidth="1" min="6" max="26" width="8.63"/>
  </cols>
  <sheetData>
    <row r="1" ht="27.75" customHeight="1">
      <c r="A1" s="28" t="s">
        <v>119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17" t="s">
        <v>120</v>
      </c>
      <c r="B3" s="17" t="s">
        <v>121</v>
      </c>
      <c r="C3" s="17" t="s">
        <v>122</v>
      </c>
      <c r="D3" s="17" t="s">
        <v>123</v>
      </c>
      <c r="E3" s="17" t="s">
        <v>124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23" t="s">
        <v>125</v>
      </c>
      <c r="B4" s="23" t="s">
        <v>126</v>
      </c>
      <c r="C4" s="23" t="s">
        <v>127</v>
      </c>
      <c r="D4" s="23" t="s">
        <v>83</v>
      </c>
      <c r="E4" s="23" t="s">
        <v>128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23" t="s">
        <v>129</v>
      </c>
      <c r="B5" s="23" t="s">
        <v>130</v>
      </c>
      <c r="C5" s="23" t="s">
        <v>131</v>
      </c>
      <c r="D5" s="23" t="s">
        <v>72</v>
      </c>
      <c r="E5" s="23" t="s">
        <v>132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23" t="s">
        <v>133</v>
      </c>
      <c r="B6" s="23" t="s">
        <v>134</v>
      </c>
      <c r="C6" s="23" t="s">
        <v>135</v>
      </c>
      <c r="D6" s="23" t="s">
        <v>72</v>
      </c>
      <c r="E6" s="23" t="s">
        <v>136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23" t="s">
        <v>137</v>
      </c>
      <c r="B7" s="23" t="s">
        <v>138</v>
      </c>
      <c r="C7" s="23" t="s">
        <v>139</v>
      </c>
      <c r="D7" s="23" t="s">
        <v>140</v>
      </c>
      <c r="E7" s="23" t="s">
        <v>141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23" t="s">
        <v>142</v>
      </c>
      <c r="B8" s="23" t="s">
        <v>143</v>
      </c>
      <c r="C8" s="23" t="s">
        <v>139</v>
      </c>
      <c r="D8" s="23" t="s">
        <v>72</v>
      </c>
      <c r="E8" s="23" t="s">
        <v>144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23" t="s">
        <v>145</v>
      </c>
      <c r="B9" s="23" t="s">
        <v>146</v>
      </c>
      <c r="C9" s="23" t="s">
        <v>147</v>
      </c>
      <c r="D9" s="23" t="s">
        <v>148</v>
      </c>
      <c r="E9" s="23" t="s">
        <v>149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23" t="s">
        <v>150</v>
      </c>
      <c r="B10" s="23" t="s">
        <v>151</v>
      </c>
      <c r="C10" s="23" t="s">
        <v>152</v>
      </c>
      <c r="D10" s="23" t="s">
        <v>72</v>
      </c>
      <c r="E10" s="23" t="s">
        <v>153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23" t="s">
        <v>154</v>
      </c>
      <c r="B11" s="23" t="s">
        <v>155</v>
      </c>
      <c r="C11" s="23" t="s">
        <v>156</v>
      </c>
      <c r="D11" s="23" t="s">
        <v>157</v>
      </c>
      <c r="E11" s="23" t="s">
        <v>158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23" t="s">
        <v>159</v>
      </c>
      <c r="B12" s="23" t="s">
        <v>160</v>
      </c>
      <c r="C12" s="23" t="s">
        <v>161</v>
      </c>
      <c r="D12" s="23" t="s">
        <v>72</v>
      </c>
      <c r="E12" s="23" t="s">
        <v>162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23" t="s">
        <v>163</v>
      </c>
      <c r="B13" s="23" t="s">
        <v>164</v>
      </c>
      <c r="C13" s="23" t="s">
        <v>165</v>
      </c>
      <c r="D13" s="23" t="s">
        <v>72</v>
      </c>
      <c r="E13" s="23" t="s">
        <v>166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23" t="s">
        <v>167</v>
      </c>
      <c r="B14" s="23" t="str">
        <f>"Workbook uses $"&amp;TEXT('Shipment Setup'!O2,"0")&amp;"/can as projected sales price."</f>
        <v>Workbook uses $12/can as projected sales price.</v>
      </c>
      <c r="C14" s="23" t="s">
        <v>168</v>
      </c>
      <c r="D14" s="23" t="s">
        <v>72</v>
      </c>
      <c r="E14" s="23" t="s">
        <v>169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7.88"/>
    <col customWidth="1" min="3" max="3" width="6.5"/>
    <col customWidth="1" min="4" max="4" width="17.75"/>
    <col customWidth="1" min="5" max="5" width="18.38"/>
    <col customWidth="1" min="6" max="6" width="19.38"/>
    <col customWidth="1" min="7" max="7" width="9.88"/>
    <col customWidth="1" min="8" max="8" width="19.38"/>
    <col customWidth="1" min="9" max="9" width="14.75"/>
    <col customWidth="1" min="10" max="10" width="14.63"/>
    <col customWidth="1" min="11" max="11" width="6.13"/>
    <col customWidth="1" min="12" max="26" width="8.63"/>
  </cols>
  <sheetData>
    <row r="1" ht="14.25" customHeight="1">
      <c r="A1" s="29" t="s">
        <v>45</v>
      </c>
      <c r="B1" s="29" t="s">
        <v>5</v>
      </c>
      <c r="C1" s="29" t="s">
        <v>7</v>
      </c>
      <c r="D1" s="29" t="s">
        <v>55</v>
      </c>
      <c r="E1" s="29" t="s">
        <v>28</v>
      </c>
      <c r="F1" s="29" t="s">
        <v>170</v>
      </c>
      <c r="G1" s="29" t="s">
        <v>171</v>
      </c>
      <c r="H1" s="29" t="s">
        <v>172</v>
      </c>
      <c r="I1" s="29" t="s">
        <v>173</v>
      </c>
      <c r="J1" s="29" t="s">
        <v>174</v>
      </c>
      <c r="K1" s="29" t="s">
        <v>15</v>
      </c>
    </row>
    <row r="2" ht="14.25" customHeight="1">
      <c r="A2" s="30" t="str">
        <f>IF('Shipment Setup'!A2="","",'Shipment Setup'!A2)</f>
        <v>SHP-002</v>
      </c>
      <c r="B2" s="30" t="str">
        <f t="array" ref="B2">IF($A2="","",XLOOKUP($A2,'Shipment Setup'!$A:$A,'Shipment Setup'!$B:$B,""))</f>
        <v>Copenhagen</v>
      </c>
      <c r="C2" s="30" t="str">
        <f t="array" ref="C2">IF($A2="","",XLOOKUP($A2,'Shipment Setup'!$A:$A,'Shipment Setup'!$C:$C,""))</f>
        <v>In Transit</v>
      </c>
      <c r="D2" s="31">
        <f t="array" ref="D2">IF($A2="","",XLOOKUP($A2,'Shipment Setup'!$A:$A,'Shipment Setup'!$N:$N,0))</f>
        <v>7296</v>
      </c>
      <c r="E2" s="31">
        <f t="array" ref="E2">IF($A2="","",XLOOKUP($A2,'Shipment Setup'!$A:$A,'Shipment Setup'!$P:$P,0))</f>
        <v>12960</v>
      </c>
      <c r="F2" s="30">
        <f>IF($A2="","",SUMIFS('Sales Ledger'!$K:$K,'Sales Ledger'!$A:$A,$A2))</f>
        <v>0</v>
      </c>
      <c r="G2" s="30">
        <f>IF($A2="","",SUMIFS('Sales Ledger'!$I:$I,'Sales Ledger'!$A:$A,$A2))</f>
        <v>0</v>
      </c>
      <c r="H2" s="30">
        <f t="array" ref="H2">IF($A2="","",MAX(0,XLOOKUP($A2,'Shipment Setup'!$A:$A,'Shipment Setup'!$L:$L,0)-G2))</f>
        <v>1080</v>
      </c>
      <c r="I2" s="31">
        <f t="array" ref="I2">IF($A2="","",(XLOOKUP($A2,'Shipment Setup'!$A:$A,'Shipment Setup'!$Q:$Q,0)+SUMIFS('Operations Ledger'!$E:$E,'Operations Ledger'!$A:$A,$A2,'Operations Ledger'!$B:$B,"Clenny",'Operations Ledger'!$F:$F,"Yes"))+((F2-(XLOOKUP($A2,'Shipment Setup'!$A:$A,'Shipment Setup'!$N:$N,0)+SUMIFS('Operations Ledger'!$E:$E,'Operations Ledger'!$A:$A,$A2,'Operations Ledger'!$F:$F,"Yes")))*IF((XLOOKUP($A2,'Shipment Setup'!$A:$A,'Shipment Setup'!$Q:$Q,0)+SUMIFS('Operations Ledger'!$E:$E,'Operations Ledger'!$A:$A,$A2,'Operations Ledger'!$B:$B,"Clenny",'Operations Ledger'!$F:$F,"Yes")+XLOOKUP($A2,'Shipment Setup'!$A:$A,'Shipment Setup'!$R:$R,0)+SUMIFS('Operations Ledger'!$E:$E,'Operations Ledger'!$A:$A,$A2,'Operations Ledger'!$B:$B,"Clanny",'Operations Ledger'!$F:$F,"Yes"))=0,0,(XLOOKUP($A2,'Shipment Setup'!$A:$A,'Shipment Setup'!$Q:$Q,0)+SUMIFS('Operations Ledger'!$E:$E,'Operations Ledger'!$A:$A,$A2,'Operations Ledger'!$B:$B,"Clenny",'Operations Ledger'!$F:$F,"Yes"))/(XLOOKUP($A2,'Shipment Setup'!$A:$A,'Shipment Setup'!$Q:$Q,0)+SUMIFS('Operations Ledger'!$E:$E,'Operations Ledger'!$A:$A,$A2,'Operations Ledger'!$B:$B,"Clenny",'Operations Ledger'!$F:$F,"Yes")+XLOOKUP($A2,'Shipment Setup'!$A:$A,'Shipment Setup'!$R:$R,0)+SUMIFS('Operations Ledger'!$E:$E,'Operations Ledger'!$A:$A,$A2,'Operations Ledger'!$B:$B,"Clanny",'Operations Ledger'!$F:$F,"Yes"))))-SUMIFS('Sales Ledger'!$K:$K,'Sales Ledger'!$A:$A,$A2,'Sales Ledger'!$L:$L,"Clenny"))</f>
        <v>0</v>
      </c>
      <c r="J2" s="31">
        <f t="array" ref="J2">IF($A2="","",(XLOOKUP($A2,'Shipment Setup'!$A:$A,'Shipment Setup'!$R:$R,0)+SUMIFS('Operations Ledger'!$E:$E,'Operations Ledger'!$A:$A,$A2,'Operations Ledger'!$B:$B,"Clanny",'Operations Ledger'!$F:$F,"Yes"))+((F2-(XLOOKUP($A2,'Shipment Setup'!$A:$A,'Shipment Setup'!$N:$N,0)+SUMIFS('Operations Ledger'!$E:$E,'Operations Ledger'!$A:$A,$A2,'Operations Ledger'!$F:$F,"Yes")))*IF((XLOOKUP($A2,'Shipment Setup'!$A:$A,'Shipment Setup'!$Q:$Q,0)+SUMIFS('Operations Ledger'!$E:$E,'Operations Ledger'!$A:$A,$A2,'Operations Ledger'!$B:$B,"Clenny",'Operations Ledger'!$F:$F,"Yes")+XLOOKUP($A2,'Shipment Setup'!$A:$A,'Shipment Setup'!$R:$R,0)+SUMIFS('Operations Ledger'!$E:$E,'Operations Ledger'!$A:$A,$A2,'Operations Ledger'!$B:$B,"Clanny",'Operations Ledger'!$F:$F,"Yes"))=0,0,(XLOOKUP($A2,'Shipment Setup'!$A:$A,'Shipment Setup'!$R:$R,0)+SUMIFS('Operations Ledger'!$E:$E,'Operations Ledger'!$A:$A,$A2,'Operations Ledger'!$B:$B,"Clanny",'Operations Ledger'!$F:$F,"Yes"))/(XLOOKUP($A2,'Shipment Setup'!$A:$A,'Shipment Setup'!$Q:$Q,0)+SUMIFS('Operations Ledger'!$E:$E,'Operations Ledger'!$A:$A,$A2,'Operations Ledger'!$B:$B,"Clenny",'Operations Ledger'!$F:$F,"Yes")+XLOOKUP($A2,'Shipment Setup'!$A:$A,'Shipment Setup'!$R:$R,0)+SUMIFS('Operations Ledger'!$E:$E,'Operations Ledger'!$A:$A,$A2,'Operations Ledger'!$B:$B,"Clanny",'Operations Ledger'!$F:$F,"Yes"))))-SUMIFS('Sales Ledger'!$K:$K,'Sales Ledger'!$A:$A,$A2,'Sales Ledger'!$L:$L,"Clanny"))</f>
        <v>0</v>
      </c>
      <c r="K2" s="30" t="str">
        <f t="array" ref="K2">IF($A2="","",XLOOKUP($A2,'Shipment Setup'!$A:$A,'Shipment Setup'!$S:$S,""))</f>
        <v>Expected arrival: July 1. Base planning assumption: most cans sell at $12 each, with some possibly sold at $13.</v>
      </c>
    </row>
    <row r="3" ht="14.25" customHeight="1">
      <c r="A3" s="30" t="str">
        <f>IF('Shipment Setup'!A3="","",'Shipment Setup'!A3)</f>
        <v>SHP-003</v>
      </c>
      <c r="B3" s="30" t="str">
        <f t="array" ref="B3">IF($A3="","",XLOOKUP($A3,'Shipment Setup'!$A:$A,'Shipment Setup'!$B:$B,""))</f>
        <v>Grizzly</v>
      </c>
      <c r="C3" s="30" t="str">
        <f t="array" ref="C3">IF($A3="","",XLOOKUP($A3,'Shipment Setup'!$A:$A,'Shipment Setup'!$C:$C,""))</f>
        <v>Planned</v>
      </c>
      <c r="D3" s="31">
        <f t="array" ref="D3">IF($A3="","",XLOOKUP($A3,'Shipment Setup'!$A:$A,'Shipment Setup'!$N:$N,0))</f>
        <v>0</v>
      </c>
      <c r="E3" s="31">
        <f t="array" ref="E3">IF($A3="","",XLOOKUP($A3,'Shipment Setup'!$A:$A,'Shipment Setup'!$P:$P,0))</f>
        <v>0</v>
      </c>
      <c r="F3" s="30">
        <f>IF($A3="","",SUMIFS('Sales Ledger'!$K:$K,'Sales Ledger'!$A:$A,$A3))</f>
        <v>0</v>
      </c>
      <c r="G3" s="30">
        <f>IF($A3="","",SUMIFS('Sales Ledger'!$I:$I,'Sales Ledger'!$A:$A,$A3))</f>
        <v>0</v>
      </c>
      <c r="H3" s="30">
        <f t="array" ref="H3">IF($A3="","",MAX(0,XLOOKUP($A3,'Shipment Setup'!$A:$A,'Shipment Setup'!$L:$L,0)-G3))</f>
        <v>0</v>
      </c>
      <c r="I3" s="31">
        <f t="array" ref="I3">IF($A3="","",(XLOOKUP($A3,'Shipment Setup'!$A:$A,'Shipment Setup'!$Q:$Q,0)+SUMIFS('Operations Ledger'!$E:$E,'Operations Ledger'!$A:$A,$A3,'Operations Ledger'!$B:$B,"Clenny",'Operations Ledger'!$F:$F,"Yes"))+((F3-(XLOOKUP($A3,'Shipment Setup'!$A:$A,'Shipment Setup'!$N:$N,0)+SUMIFS('Operations Ledger'!$E:$E,'Operations Ledger'!$A:$A,$A3,'Operations Ledger'!$F:$F,"Yes")))*IF((XLOOKUP($A3,'Shipment Setup'!$A:$A,'Shipment Setup'!$Q:$Q,0)+SUMIFS('Operations Ledger'!$E:$E,'Operations Ledger'!$A:$A,$A3,'Operations Ledger'!$B:$B,"Clenny",'Operations Ledger'!$F:$F,"Yes")+XLOOKUP($A3,'Shipment Setup'!$A:$A,'Shipment Setup'!$R:$R,0)+SUMIFS('Operations Ledger'!$E:$E,'Operations Ledger'!$A:$A,$A3,'Operations Ledger'!$B:$B,"Clanny",'Operations Ledger'!$F:$F,"Yes"))=0,0,(XLOOKUP($A3,'Shipment Setup'!$A:$A,'Shipment Setup'!$Q:$Q,0)+SUMIFS('Operations Ledger'!$E:$E,'Operations Ledger'!$A:$A,$A3,'Operations Ledger'!$B:$B,"Clenny",'Operations Ledger'!$F:$F,"Yes"))/(XLOOKUP($A3,'Shipment Setup'!$A:$A,'Shipment Setup'!$Q:$Q,0)+SUMIFS('Operations Ledger'!$E:$E,'Operations Ledger'!$A:$A,$A3,'Operations Ledger'!$B:$B,"Clenny",'Operations Ledger'!$F:$F,"Yes")+XLOOKUP($A3,'Shipment Setup'!$A:$A,'Shipment Setup'!$R:$R,0)+SUMIFS('Operations Ledger'!$E:$E,'Operations Ledger'!$A:$A,$A3,'Operations Ledger'!$B:$B,"Clanny",'Operations Ledger'!$F:$F,"Yes"))))-SUMIFS('Sales Ledger'!$K:$K,'Sales Ledger'!$A:$A,$A3,'Sales Ledger'!$L:$L,"Clenny"))</f>
        <v>0</v>
      </c>
      <c r="J3" s="31">
        <f t="array" ref="J3">IF($A3="","",(XLOOKUP($A3,'Shipment Setup'!$A:$A,'Shipment Setup'!$R:$R,0)+SUMIFS('Operations Ledger'!$E:$E,'Operations Ledger'!$A:$A,$A3,'Operations Ledger'!$B:$B,"Clanny",'Operations Ledger'!$F:$F,"Yes"))+((F3-(XLOOKUP($A3,'Shipment Setup'!$A:$A,'Shipment Setup'!$N:$N,0)+SUMIFS('Operations Ledger'!$E:$E,'Operations Ledger'!$A:$A,$A3,'Operations Ledger'!$F:$F,"Yes")))*IF((XLOOKUP($A3,'Shipment Setup'!$A:$A,'Shipment Setup'!$Q:$Q,0)+SUMIFS('Operations Ledger'!$E:$E,'Operations Ledger'!$A:$A,$A3,'Operations Ledger'!$B:$B,"Clenny",'Operations Ledger'!$F:$F,"Yes")+XLOOKUP($A3,'Shipment Setup'!$A:$A,'Shipment Setup'!$R:$R,0)+SUMIFS('Operations Ledger'!$E:$E,'Operations Ledger'!$A:$A,$A3,'Operations Ledger'!$B:$B,"Clanny",'Operations Ledger'!$F:$F,"Yes"))=0,0,(XLOOKUP($A3,'Shipment Setup'!$A:$A,'Shipment Setup'!$R:$R,0)+SUMIFS('Operations Ledger'!$E:$E,'Operations Ledger'!$A:$A,$A3,'Operations Ledger'!$B:$B,"Clanny",'Operations Ledger'!$F:$F,"Yes"))/(XLOOKUP($A3,'Shipment Setup'!$A:$A,'Shipment Setup'!$Q:$Q,0)+SUMIFS('Operations Ledger'!$E:$E,'Operations Ledger'!$A:$A,$A3,'Operations Ledger'!$B:$B,"Clenny",'Operations Ledger'!$F:$F,"Yes")+XLOOKUP($A3,'Shipment Setup'!$A:$A,'Shipment Setup'!$R:$R,0)+SUMIFS('Operations Ledger'!$E:$E,'Operations Ledger'!$A:$A,$A3,'Operations Ledger'!$B:$B,"Clanny",'Operations Ledger'!$F:$F,"Yes"))))-SUMIFS('Sales Ledger'!$K:$K,'Sales Ledger'!$A:$A,$A3,'Sales Ledger'!$L:$L,"Clanny"))</f>
        <v>0</v>
      </c>
      <c r="K3" s="30" t="str">
        <f t="array" ref="K3">IF($A3="","",XLOOKUP($A3,'Shipment Setup'!$A:$A,'Shipment Setup'!$S:$S,""))</f>
        <v>Per Clanny 7/1: Grizzly letter F, $497/case. PO guy MAJ charges $250/box starting this shipment, plus one case for himself. Boxes/case config TBD.</v>
      </c>
    </row>
    <row r="4" ht="14.25" customHeight="1">
      <c r="A4" s="30" t="str">
        <f>IF('Shipment Setup'!A4="","",'Shipment Setup'!A4)</f>
        <v/>
      </c>
      <c r="B4" s="30" t="str">
        <f t="array" ref="B4">IF($A4="","",XLOOKUP($A4,'Shipment Setup'!$A:$A,'Shipment Setup'!$B:$B,""))</f>
        <v/>
      </c>
      <c r="C4" s="30" t="str">
        <f t="array" ref="C4">IF($A4="","",XLOOKUP($A4,'Shipment Setup'!$A:$A,'Shipment Setup'!$C:$C,""))</f>
        <v/>
      </c>
      <c r="D4" s="30" t="str">
        <f t="array" ref="D4">IF($A4="","",XLOOKUP($A4,'Shipment Setup'!$A:$A,'Shipment Setup'!$N:$N,0))</f>
        <v/>
      </c>
      <c r="E4" s="30" t="str">
        <f t="array" ref="E4">IF($A4="","",XLOOKUP($A4,'Shipment Setup'!$A:$A,'Shipment Setup'!$P:$P,0))</f>
        <v/>
      </c>
      <c r="F4" s="30" t="str">
        <f>IF($A4="","",SUMIFS('Sales Ledger'!$K:$K,'Sales Ledger'!$A:$A,$A4))</f>
        <v/>
      </c>
      <c r="G4" s="30" t="str">
        <f>IF($A4="","",SUMIFS('Sales Ledger'!$I:$I,'Sales Ledger'!$A:$A,$A4))</f>
        <v/>
      </c>
      <c r="H4" s="30" t="str">
        <f t="array" ref="H4">IF($A4="","",MAX(0,XLOOKUP($A4,'Shipment Setup'!$A:$A,'Shipment Setup'!$L:$L,0)-G4))</f>
        <v/>
      </c>
      <c r="I4" s="30" t="str">
        <f t="array" ref="I4">IF($A4="","",(XLOOKUP($A4,'Shipment Setup'!$A:$A,'Shipment Setup'!$Q:$Q,0)+SUMIFS('Operations Ledger'!$E:$E,'Operations Ledger'!$A:$A,$A4,'Operations Ledger'!$B:$B,"Clenny",'Operations Ledger'!$F:$F,"Yes"))+((F4-(XLOOKUP($A4,'Shipment Setup'!$A:$A,'Shipment Setup'!$N:$N,0)+SUMIFS('Operations Ledger'!$E:$E,'Operations Ledger'!$A:$A,$A4,'Operations Ledger'!$F:$F,"Yes")))*IF((XLOOKUP($A4,'Shipment Setup'!$A:$A,'Shipment Setup'!$Q:$Q,0)+SUMIFS('Operations Ledger'!$E:$E,'Operations Ledger'!$A:$A,$A4,'Operations Ledger'!$B:$B,"Clenny",'Operations Ledger'!$F:$F,"Yes")+XLOOKUP($A4,'Shipment Setup'!$A:$A,'Shipment Setup'!$R:$R,0)+SUMIFS('Operations Ledger'!$E:$E,'Operations Ledger'!$A:$A,$A4,'Operations Ledger'!$B:$B,"Clanny",'Operations Ledger'!$F:$F,"Yes"))=0,0,(XLOOKUP($A4,'Shipment Setup'!$A:$A,'Shipment Setup'!$Q:$Q,0)+SUMIFS('Operations Ledger'!$E:$E,'Operations Ledger'!$A:$A,$A4,'Operations Ledger'!$B:$B,"Clenny",'Operations Ledger'!$F:$F,"Yes"))/(XLOOKUP($A4,'Shipment Setup'!$A:$A,'Shipment Setup'!$Q:$Q,0)+SUMIFS('Operations Ledger'!$E:$E,'Operations Ledger'!$A:$A,$A4,'Operations Ledger'!$B:$B,"Clenny",'Operations Ledger'!$F:$F,"Yes")+XLOOKUP($A4,'Shipment Setup'!$A:$A,'Shipment Setup'!$R:$R,0)+SUMIFS('Operations Ledger'!$E:$E,'Operations Ledger'!$A:$A,$A4,'Operations Ledger'!$B:$B,"Clanny",'Operations Ledger'!$F:$F,"Yes"))))-SUMIFS('Sales Ledger'!$K:$K,'Sales Ledger'!$A:$A,$A4,'Sales Ledger'!$L:$L,"Clenny"))</f>
        <v/>
      </c>
      <c r="J4" s="30" t="str">
        <f t="array" ref="J4">IF($A4="","",(XLOOKUP($A4,'Shipment Setup'!$A:$A,'Shipment Setup'!$R:$R,0)+SUMIFS('Operations Ledger'!$E:$E,'Operations Ledger'!$A:$A,$A4,'Operations Ledger'!$B:$B,"Clanny",'Operations Ledger'!$F:$F,"Yes"))+((F4-(XLOOKUP($A4,'Shipment Setup'!$A:$A,'Shipment Setup'!$N:$N,0)+SUMIFS('Operations Ledger'!$E:$E,'Operations Ledger'!$A:$A,$A4,'Operations Ledger'!$F:$F,"Yes")))*IF((XLOOKUP($A4,'Shipment Setup'!$A:$A,'Shipment Setup'!$Q:$Q,0)+SUMIFS('Operations Ledger'!$E:$E,'Operations Ledger'!$A:$A,$A4,'Operations Ledger'!$B:$B,"Clenny",'Operations Ledger'!$F:$F,"Yes")+XLOOKUP($A4,'Shipment Setup'!$A:$A,'Shipment Setup'!$R:$R,0)+SUMIFS('Operations Ledger'!$E:$E,'Operations Ledger'!$A:$A,$A4,'Operations Ledger'!$B:$B,"Clanny",'Operations Ledger'!$F:$F,"Yes"))=0,0,(XLOOKUP($A4,'Shipment Setup'!$A:$A,'Shipment Setup'!$R:$R,0)+SUMIFS('Operations Ledger'!$E:$E,'Operations Ledger'!$A:$A,$A4,'Operations Ledger'!$B:$B,"Clanny",'Operations Ledger'!$F:$F,"Yes"))/(XLOOKUP($A4,'Shipment Setup'!$A:$A,'Shipment Setup'!$Q:$Q,0)+SUMIFS('Operations Ledger'!$E:$E,'Operations Ledger'!$A:$A,$A4,'Operations Ledger'!$B:$B,"Clenny",'Operations Ledger'!$F:$F,"Yes")+XLOOKUP($A4,'Shipment Setup'!$A:$A,'Shipment Setup'!$R:$R,0)+SUMIFS('Operations Ledger'!$E:$E,'Operations Ledger'!$A:$A,$A4,'Operations Ledger'!$B:$B,"Clanny",'Operations Ledger'!$F:$F,"Yes"))))-SUMIFS('Sales Ledger'!$K:$K,'Sales Ledger'!$A:$A,$A4,'Sales Ledger'!$L:$L,"Clanny"))</f>
        <v/>
      </c>
      <c r="K4" s="30" t="str">
        <f t="array" ref="K4">IF($A4="","",XLOOKUP($A4,'Shipment Setup'!$A:$A,'Shipment Setup'!$S:$S,""))</f>
        <v/>
      </c>
    </row>
    <row r="5" ht="14.25" customHeight="1">
      <c r="A5" s="30" t="str">
        <f>IF('Shipment Setup'!A5="","",'Shipment Setup'!A5)</f>
        <v/>
      </c>
      <c r="B5" s="30" t="str">
        <f t="array" ref="B5">IF($A5="","",XLOOKUP($A5,'Shipment Setup'!$A:$A,'Shipment Setup'!$B:$B,""))</f>
        <v/>
      </c>
      <c r="C5" s="30" t="str">
        <f t="array" ref="C5">IF($A5="","",XLOOKUP($A5,'Shipment Setup'!$A:$A,'Shipment Setup'!$C:$C,""))</f>
        <v/>
      </c>
      <c r="D5" s="30" t="str">
        <f t="array" ref="D5">IF($A5="","",XLOOKUP($A5,'Shipment Setup'!$A:$A,'Shipment Setup'!$N:$N,0))</f>
        <v/>
      </c>
      <c r="E5" s="30" t="str">
        <f t="array" ref="E5">IF($A5="","",XLOOKUP($A5,'Shipment Setup'!$A:$A,'Shipment Setup'!$P:$P,0))</f>
        <v/>
      </c>
      <c r="F5" s="30" t="str">
        <f>IF($A5="","",SUMIFS('Sales Ledger'!$K:$K,'Sales Ledger'!$A:$A,$A5))</f>
        <v/>
      </c>
      <c r="G5" s="30" t="str">
        <f>IF($A5="","",SUMIFS('Sales Ledger'!$I:$I,'Sales Ledger'!$A:$A,$A5))</f>
        <v/>
      </c>
      <c r="H5" s="30" t="str">
        <f t="array" ref="H5">IF($A5="","",MAX(0,XLOOKUP($A5,'Shipment Setup'!$A:$A,'Shipment Setup'!$L:$L,0)-G5))</f>
        <v/>
      </c>
      <c r="I5" s="30" t="str">
        <f t="array" ref="I5">IF($A5="","",(XLOOKUP($A5,'Shipment Setup'!$A:$A,'Shipment Setup'!$Q:$Q,0)+SUMIFS('Operations Ledger'!$E:$E,'Operations Ledger'!$A:$A,$A5,'Operations Ledger'!$B:$B,"Clenny",'Operations Ledger'!$F:$F,"Yes"))+((F5-(XLOOKUP($A5,'Shipment Setup'!$A:$A,'Shipment Setup'!$N:$N,0)+SUMIFS('Operations Ledger'!$E:$E,'Operations Ledger'!$A:$A,$A5,'Operations Ledger'!$F:$F,"Yes")))*IF((XLOOKUP($A5,'Shipment Setup'!$A:$A,'Shipment Setup'!$Q:$Q,0)+SUMIFS('Operations Ledger'!$E:$E,'Operations Ledger'!$A:$A,$A5,'Operations Ledger'!$B:$B,"Clenny",'Operations Ledger'!$F:$F,"Yes")+XLOOKUP($A5,'Shipment Setup'!$A:$A,'Shipment Setup'!$R:$R,0)+SUMIFS('Operations Ledger'!$E:$E,'Operations Ledger'!$A:$A,$A5,'Operations Ledger'!$B:$B,"Clanny",'Operations Ledger'!$F:$F,"Yes"))=0,0,(XLOOKUP($A5,'Shipment Setup'!$A:$A,'Shipment Setup'!$Q:$Q,0)+SUMIFS('Operations Ledger'!$E:$E,'Operations Ledger'!$A:$A,$A5,'Operations Ledger'!$B:$B,"Clenny",'Operations Ledger'!$F:$F,"Yes"))/(XLOOKUP($A5,'Shipment Setup'!$A:$A,'Shipment Setup'!$Q:$Q,0)+SUMIFS('Operations Ledger'!$E:$E,'Operations Ledger'!$A:$A,$A5,'Operations Ledger'!$B:$B,"Clenny",'Operations Ledger'!$F:$F,"Yes")+XLOOKUP($A5,'Shipment Setup'!$A:$A,'Shipment Setup'!$R:$R,0)+SUMIFS('Operations Ledger'!$E:$E,'Operations Ledger'!$A:$A,$A5,'Operations Ledger'!$B:$B,"Clanny",'Operations Ledger'!$F:$F,"Yes"))))-SUMIFS('Sales Ledger'!$K:$K,'Sales Ledger'!$A:$A,$A5,'Sales Ledger'!$L:$L,"Clenny"))</f>
        <v/>
      </c>
      <c r="J5" s="30" t="str">
        <f t="array" ref="J5">IF($A5="","",(XLOOKUP($A5,'Shipment Setup'!$A:$A,'Shipment Setup'!$R:$R,0)+SUMIFS('Operations Ledger'!$E:$E,'Operations Ledger'!$A:$A,$A5,'Operations Ledger'!$B:$B,"Clanny",'Operations Ledger'!$F:$F,"Yes"))+((F5-(XLOOKUP($A5,'Shipment Setup'!$A:$A,'Shipment Setup'!$N:$N,0)+SUMIFS('Operations Ledger'!$E:$E,'Operations Ledger'!$A:$A,$A5,'Operations Ledger'!$F:$F,"Yes")))*IF((XLOOKUP($A5,'Shipment Setup'!$A:$A,'Shipment Setup'!$Q:$Q,0)+SUMIFS('Operations Ledger'!$E:$E,'Operations Ledger'!$A:$A,$A5,'Operations Ledger'!$B:$B,"Clenny",'Operations Ledger'!$F:$F,"Yes")+XLOOKUP($A5,'Shipment Setup'!$A:$A,'Shipment Setup'!$R:$R,0)+SUMIFS('Operations Ledger'!$E:$E,'Operations Ledger'!$A:$A,$A5,'Operations Ledger'!$B:$B,"Clanny",'Operations Ledger'!$F:$F,"Yes"))=0,0,(XLOOKUP($A5,'Shipment Setup'!$A:$A,'Shipment Setup'!$R:$R,0)+SUMIFS('Operations Ledger'!$E:$E,'Operations Ledger'!$A:$A,$A5,'Operations Ledger'!$B:$B,"Clanny",'Operations Ledger'!$F:$F,"Yes"))/(XLOOKUP($A5,'Shipment Setup'!$A:$A,'Shipment Setup'!$Q:$Q,0)+SUMIFS('Operations Ledger'!$E:$E,'Operations Ledger'!$A:$A,$A5,'Operations Ledger'!$B:$B,"Clenny",'Operations Ledger'!$F:$F,"Yes")+XLOOKUP($A5,'Shipment Setup'!$A:$A,'Shipment Setup'!$R:$R,0)+SUMIFS('Operations Ledger'!$E:$E,'Operations Ledger'!$A:$A,$A5,'Operations Ledger'!$B:$B,"Clanny",'Operations Ledger'!$F:$F,"Yes"))))-SUMIFS('Sales Ledger'!$K:$K,'Sales Ledger'!$A:$A,$A5,'Sales Ledger'!$L:$L,"Clanny"))</f>
        <v/>
      </c>
      <c r="K5" s="30" t="str">
        <f t="array" ref="K5">IF($A5="","",XLOOKUP($A5,'Shipment Setup'!$A:$A,'Shipment Setup'!$S:$S,""))</f>
        <v/>
      </c>
    </row>
    <row r="6" ht="14.25" customHeight="1">
      <c r="A6" s="30" t="str">
        <f>IF('Shipment Setup'!A6="","",'Shipment Setup'!A6)</f>
        <v/>
      </c>
      <c r="B6" s="30" t="str">
        <f t="array" ref="B6">IF($A6="","",XLOOKUP($A6,'Shipment Setup'!$A:$A,'Shipment Setup'!$B:$B,""))</f>
        <v/>
      </c>
      <c r="C6" s="30" t="str">
        <f t="array" ref="C6">IF($A6="","",XLOOKUP($A6,'Shipment Setup'!$A:$A,'Shipment Setup'!$C:$C,""))</f>
        <v/>
      </c>
      <c r="D6" s="30" t="str">
        <f t="array" ref="D6">IF($A6="","",XLOOKUP($A6,'Shipment Setup'!$A:$A,'Shipment Setup'!$N:$N,0))</f>
        <v/>
      </c>
      <c r="E6" s="30" t="str">
        <f t="array" ref="E6">IF($A6="","",XLOOKUP($A6,'Shipment Setup'!$A:$A,'Shipment Setup'!$P:$P,0))</f>
        <v/>
      </c>
      <c r="F6" s="30" t="str">
        <f>IF($A6="","",SUMIFS('Sales Ledger'!$K:$K,'Sales Ledger'!$A:$A,$A6))</f>
        <v/>
      </c>
      <c r="G6" s="30" t="str">
        <f>IF($A6="","",SUMIFS('Sales Ledger'!$I:$I,'Sales Ledger'!$A:$A,$A6))</f>
        <v/>
      </c>
      <c r="H6" s="30" t="str">
        <f t="array" ref="H6">IF($A6="","",MAX(0,XLOOKUP($A6,'Shipment Setup'!$A:$A,'Shipment Setup'!$L:$L,0)-G6))</f>
        <v/>
      </c>
      <c r="I6" s="30" t="str">
        <f t="array" ref="I6">IF($A6="","",(XLOOKUP($A6,'Shipment Setup'!$A:$A,'Shipment Setup'!$Q:$Q,0)+SUMIFS('Operations Ledger'!$E:$E,'Operations Ledger'!$A:$A,$A6,'Operations Ledger'!$B:$B,"Clenny",'Operations Ledger'!$F:$F,"Yes"))+((F6-(XLOOKUP($A6,'Shipment Setup'!$A:$A,'Shipment Setup'!$N:$N,0)+SUMIFS('Operations Ledger'!$E:$E,'Operations Ledger'!$A:$A,$A6,'Operations Ledger'!$F:$F,"Yes")))*IF((XLOOKUP($A6,'Shipment Setup'!$A:$A,'Shipment Setup'!$Q:$Q,0)+SUMIFS('Operations Ledger'!$E:$E,'Operations Ledger'!$A:$A,$A6,'Operations Ledger'!$B:$B,"Clenny",'Operations Ledger'!$F:$F,"Yes")+XLOOKUP($A6,'Shipment Setup'!$A:$A,'Shipment Setup'!$R:$R,0)+SUMIFS('Operations Ledger'!$E:$E,'Operations Ledger'!$A:$A,$A6,'Operations Ledger'!$B:$B,"Clanny",'Operations Ledger'!$F:$F,"Yes"))=0,0,(XLOOKUP($A6,'Shipment Setup'!$A:$A,'Shipment Setup'!$Q:$Q,0)+SUMIFS('Operations Ledger'!$E:$E,'Operations Ledger'!$A:$A,$A6,'Operations Ledger'!$B:$B,"Clenny",'Operations Ledger'!$F:$F,"Yes"))/(XLOOKUP($A6,'Shipment Setup'!$A:$A,'Shipment Setup'!$Q:$Q,0)+SUMIFS('Operations Ledger'!$E:$E,'Operations Ledger'!$A:$A,$A6,'Operations Ledger'!$B:$B,"Clenny",'Operations Ledger'!$F:$F,"Yes")+XLOOKUP($A6,'Shipment Setup'!$A:$A,'Shipment Setup'!$R:$R,0)+SUMIFS('Operations Ledger'!$E:$E,'Operations Ledger'!$A:$A,$A6,'Operations Ledger'!$B:$B,"Clanny",'Operations Ledger'!$F:$F,"Yes"))))-SUMIFS('Sales Ledger'!$K:$K,'Sales Ledger'!$A:$A,$A6,'Sales Ledger'!$L:$L,"Clenny"))</f>
        <v/>
      </c>
      <c r="J6" s="30" t="str">
        <f t="array" ref="J6">IF($A6="","",(XLOOKUP($A6,'Shipment Setup'!$A:$A,'Shipment Setup'!$R:$R,0)+SUMIFS('Operations Ledger'!$E:$E,'Operations Ledger'!$A:$A,$A6,'Operations Ledger'!$B:$B,"Clanny",'Operations Ledger'!$F:$F,"Yes"))+((F6-(XLOOKUP($A6,'Shipment Setup'!$A:$A,'Shipment Setup'!$N:$N,0)+SUMIFS('Operations Ledger'!$E:$E,'Operations Ledger'!$A:$A,$A6,'Operations Ledger'!$F:$F,"Yes")))*IF((XLOOKUP($A6,'Shipment Setup'!$A:$A,'Shipment Setup'!$Q:$Q,0)+SUMIFS('Operations Ledger'!$E:$E,'Operations Ledger'!$A:$A,$A6,'Operations Ledger'!$B:$B,"Clenny",'Operations Ledger'!$F:$F,"Yes")+XLOOKUP($A6,'Shipment Setup'!$A:$A,'Shipment Setup'!$R:$R,0)+SUMIFS('Operations Ledger'!$E:$E,'Operations Ledger'!$A:$A,$A6,'Operations Ledger'!$B:$B,"Clanny",'Operations Ledger'!$F:$F,"Yes"))=0,0,(XLOOKUP($A6,'Shipment Setup'!$A:$A,'Shipment Setup'!$R:$R,0)+SUMIFS('Operations Ledger'!$E:$E,'Operations Ledger'!$A:$A,$A6,'Operations Ledger'!$B:$B,"Clanny",'Operations Ledger'!$F:$F,"Yes"))/(XLOOKUP($A6,'Shipment Setup'!$A:$A,'Shipment Setup'!$Q:$Q,0)+SUMIFS('Operations Ledger'!$E:$E,'Operations Ledger'!$A:$A,$A6,'Operations Ledger'!$B:$B,"Clenny",'Operations Ledger'!$F:$F,"Yes")+XLOOKUP($A6,'Shipment Setup'!$A:$A,'Shipment Setup'!$R:$R,0)+SUMIFS('Operations Ledger'!$E:$E,'Operations Ledger'!$A:$A,$A6,'Operations Ledger'!$B:$B,"Clanny",'Operations Ledger'!$F:$F,"Yes"))))-SUMIFS('Sales Ledger'!$K:$K,'Sales Ledger'!$A:$A,$A6,'Sales Ledger'!$L:$L,"Clanny"))</f>
        <v/>
      </c>
      <c r="K6" s="30" t="str">
        <f t="array" ref="K6">IF($A6="","",XLOOKUP($A6,'Shipment Setup'!$A:$A,'Shipment Setup'!$S:$S,""))</f>
        <v/>
      </c>
    </row>
    <row r="7" ht="14.25" customHeight="1">
      <c r="A7" s="30" t="str">
        <f>IF('Shipment Setup'!A7="","",'Shipment Setup'!A7)</f>
        <v/>
      </c>
      <c r="B7" s="30" t="str">
        <f t="array" ref="B7">IF($A7="","",XLOOKUP($A7,'Shipment Setup'!$A:$A,'Shipment Setup'!$B:$B,""))</f>
        <v/>
      </c>
      <c r="C7" s="30" t="str">
        <f t="array" ref="C7">IF($A7="","",XLOOKUP($A7,'Shipment Setup'!$A:$A,'Shipment Setup'!$C:$C,""))</f>
        <v/>
      </c>
      <c r="D7" s="30" t="str">
        <f t="array" ref="D7">IF($A7="","",XLOOKUP($A7,'Shipment Setup'!$A:$A,'Shipment Setup'!$N:$N,0))</f>
        <v/>
      </c>
      <c r="E7" s="30" t="str">
        <f t="array" ref="E7">IF($A7="","",XLOOKUP($A7,'Shipment Setup'!$A:$A,'Shipment Setup'!$P:$P,0))</f>
        <v/>
      </c>
      <c r="F7" s="30" t="str">
        <f>IF($A7="","",SUMIFS('Sales Ledger'!$K:$K,'Sales Ledger'!$A:$A,$A7))</f>
        <v/>
      </c>
      <c r="G7" s="30" t="str">
        <f>IF($A7="","",SUMIFS('Sales Ledger'!$I:$I,'Sales Ledger'!$A:$A,$A7))</f>
        <v/>
      </c>
      <c r="H7" s="30" t="str">
        <f t="array" ref="H7">IF($A7="","",MAX(0,XLOOKUP($A7,'Shipment Setup'!$A:$A,'Shipment Setup'!$L:$L,0)-G7))</f>
        <v/>
      </c>
      <c r="I7" s="30" t="str">
        <f t="array" ref="I7">IF($A7="","",(XLOOKUP($A7,'Shipment Setup'!$A:$A,'Shipment Setup'!$Q:$Q,0)+SUMIFS('Operations Ledger'!$E:$E,'Operations Ledger'!$A:$A,$A7,'Operations Ledger'!$B:$B,"Clenny",'Operations Ledger'!$F:$F,"Yes"))+((F7-(XLOOKUP($A7,'Shipment Setup'!$A:$A,'Shipment Setup'!$N:$N,0)+SUMIFS('Operations Ledger'!$E:$E,'Operations Ledger'!$A:$A,$A7,'Operations Ledger'!$F:$F,"Yes")))*IF((XLOOKUP($A7,'Shipment Setup'!$A:$A,'Shipment Setup'!$Q:$Q,0)+SUMIFS('Operations Ledger'!$E:$E,'Operations Ledger'!$A:$A,$A7,'Operations Ledger'!$B:$B,"Clenny",'Operations Ledger'!$F:$F,"Yes")+XLOOKUP($A7,'Shipment Setup'!$A:$A,'Shipment Setup'!$R:$R,0)+SUMIFS('Operations Ledger'!$E:$E,'Operations Ledger'!$A:$A,$A7,'Operations Ledger'!$B:$B,"Clanny",'Operations Ledger'!$F:$F,"Yes"))=0,0,(XLOOKUP($A7,'Shipment Setup'!$A:$A,'Shipment Setup'!$Q:$Q,0)+SUMIFS('Operations Ledger'!$E:$E,'Operations Ledger'!$A:$A,$A7,'Operations Ledger'!$B:$B,"Clenny",'Operations Ledger'!$F:$F,"Yes"))/(XLOOKUP($A7,'Shipment Setup'!$A:$A,'Shipment Setup'!$Q:$Q,0)+SUMIFS('Operations Ledger'!$E:$E,'Operations Ledger'!$A:$A,$A7,'Operations Ledger'!$B:$B,"Clenny",'Operations Ledger'!$F:$F,"Yes")+XLOOKUP($A7,'Shipment Setup'!$A:$A,'Shipment Setup'!$R:$R,0)+SUMIFS('Operations Ledger'!$E:$E,'Operations Ledger'!$A:$A,$A7,'Operations Ledger'!$B:$B,"Clanny",'Operations Ledger'!$F:$F,"Yes"))))-SUMIFS('Sales Ledger'!$K:$K,'Sales Ledger'!$A:$A,$A7,'Sales Ledger'!$L:$L,"Clenny"))</f>
        <v/>
      </c>
      <c r="J7" s="30" t="str">
        <f t="array" ref="J7">IF($A7="","",(XLOOKUP($A7,'Shipment Setup'!$A:$A,'Shipment Setup'!$R:$R,0)+SUMIFS('Operations Ledger'!$E:$E,'Operations Ledger'!$A:$A,$A7,'Operations Ledger'!$B:$B,"Clanny",'Operations Ledger'!$F:$F,"Yes"))+((F7-(XLOOKUP($A7,'Shipment Setup'!$A:$A,'Shipment Setup'!$N:$N,0)+SUMIFS('Operations Ledger'!$E:$E,'Operations Ledger'!$A:$A,$A7,'Operations Ledger'!$F:$F,"Yes")))*IF((XLOOKUP($A7,'Shipment Setup'!$A:$A,'Shipment Setup'!$Q:$Q,0)+SUMIFS('Operations Ledger'!$E:$E,'Operations Ledger'!$A:$A,$A7,'Operations Ledger'!$B:$B,"Clenny",'Operations Ledger'!$F:$F,"Yes")+XLOOKUP($A7,'Shipment Setup'!$A:$A,'Shipment Setup'!$R:$R,0)+SUMIFS('Operations Ledger'!$E:$E,'Operations Ledger'!$A:$A,$A7,'Operations Ledger'!$B:$B,"Clanny",'Operations Ledger'!$F:$F,"Yes"))=0,0,(XLOOKUP($A7,'Shipment Setup'!$A:$A,'Shipment Setup'!$R:$R,0)+SUMIFS('Operations Ledger'!$E:$E,'Operations Ledger'!$A:$A,$A7,'Operations Ledger'!$B:$B,"Clanny",'Operations Ledger'!$F:$F,"Yes"))/(XLOOKUP($A7,'Shipment Setup'!$A:$A,'Shipment Setup'!$Q:$Q,0)+SUMIFS('Operations Ledger'!$E:$E,'Operations Ledger'!$A:$A,$A7,'Operations Ledger'!$B:$B,"Clenny",'Operations Ledger'!$F:$F,"Yes")+XLOOKUP($A7,'Shipment Setup'!$A:$A,'Shipment Setup'!$R:$R,0)+SUMIFS('Operations Ledger'!$E:$E,'Operations Ledger'!$A:$A,$A7,'Operations Ledger'!$B:$B,"Clanny",'Operations Ledger'!$F:$F,"Yes"))))-SUMIFS('Sales Ledger'!$K:$K,'Sales Ledger'!$A:$A,$A7,'Sales Ledger'!$L:$L,"Clanny"))</f>
        <v/>
      </c>
      <c r="K7" s="30" t="str">
        <f t="array" ref="K7">IF($A7="","",XLOOKUP($A7,'Shipment Setup'!$A:$A,'Shipment Setup'!$S:$S,""))</f>
        <v/>
      </c>
    </row>
    <row r="8" ht="14.25" customHeight="1">
      <c r="A8" s="30" t="str">
        <f>IF('Shipment Setup'!A8="","",'Shipment Setup'!A8)</f>
        <v/>
      </c>
      <c r="B8" s="30" t="str">
        <f t="array" ref="B8">IF($A8="","",XLOOKUP($A8,'Shipment Setup'!$A:$A,'Shipment Setup'!$B:$B,""))</f>
        <v/>
      </c>
      <c r="C8" s="30" t="str">
        <f t="array" ref="C8">IF($A8="","",XLOOKUP($A8,'Shipment Setup'!$A:$A,'Shipment Setup'!$C:$C,""))</f>
        <v/>
      </c>
      <c r="D8" s="30" t="str">
        <f t="array" ref="D8">IF($A8="","",XLOOKUP($A8,'Shipment Setup'!$A:$A,'Shipment Setup'!$N:$N,0))</f>
        <v/>
      </c>
      <c r="E8" s="30" t="str">
        <f t="array" ref="E8">IF($A8="","",XLOOKUP($A8,'Shipment Setup'!$A:$A,'Shipment Setup'!$P:$P,0))</f>
        <v/>
      </c>
      <c r="F8" s="30" t="str">
        <f>IF($A8="","",SUMIFS('Sales Ledger'!$K:$K,'Sales Ledger'!$A:$A,$A8))</f>
        <v/>
      </c>
      <c r="G8" s="30" t="str">
        <f>IF($A8="","",SUMIFS('Sales Ledger'!$I:$I,'Sales Ledger'!$A:$A,$A8))</f>
        <v/>
      </c>
      <c r="H8" s="30" t="str">
        <f t="array" ref="H8">IF($A8="","",MAX(0,XLOOKUP($A8,'Shipment Setup'!$A:$A,'Shipment Setup'!$L:$L,0)-G8))</f>
        <v/>
      </c>
      <c r="I8" s="30" t="str">
        <f t="array" ref="I8">IF($A8="","",(XLOOKUP($A8,'Shipment Setup'!$A:$A,'Shipment Setup'!$Q:$Q,0)+SUMIFS('Operations Ledger'!$E:$E,'Operations Ledger'!$A:$A,$A8,'Operations Ledger'!$B:$B,"Clenny",'Operations Ledger'!$F:$F,"Yes"))+((F8-(XLOOKUP($A8,'Shipment Setup'!$A:$A,'Shipment Setup'!$N:$N,0)+SUMIFS('Operations Ledger'!$E:$E,'Operations Ledger'!$A:$A,$A8,'Operations Ledger'!$F:$F,"Yes")))*IF((XLOOKUP($A8,'Shipment Setup'!$A:$A,'Shipment Setup'!$Q:$Q,0)+SUMIFS('Operations Ledger'!$E:$E,'Operations Ledger'!$A:$A,$A8,'Operations Ledger'!$B:$B,"Clenny",'Operations Ledger'!$F:$F,"Yes")+XLOOKUP($A8,'Shipment Setup'!$A:$A,'Shipment Setup'!$R:$R,0)+SUMIFS('Operations Ledger'!$E:$E,'Operations Ledger'!$A:$A,$A8,'Operations Ledger'!$B:$B,"Clanny",'Operations Ledger'!$F:$F,"Yes"))=0,0,(XLOOKUP($A8,'Shipment Setup'!$A:$A,'Shipment Setup'!$Q:$Q,0)+SUMIFS('Operations Ledger'!$E:$E,'Operations Ledger'!$A:$A,$A8,'Operations Ledger'!$B:$B,"Clenny",'Operations Ledger'!$F:$F,"Yes"))/(XLOOKUP($A8,'Shipment Setup'!$A:$A,'Shipment Setup'!$Q:$Q,0)+SUMIFS('Operations Ledger'!$E:$E,'Operations Ledger'!$A:$A,$A8,'Operations Ledger'!$B:$B,"Clenny",'Operations Ledger'!$F:$F,"Yes")+XLOOKUP($A8,'Shipment Setup'!$A:$A,'Shipment Setup'!$R:$R,0)+SUMIFS('Operations Ledger'!$E:$E,'Operations Ledger'!$A:$A,$A8,'Operations Ledger'!$B:$B,"Clanny",'Operations Ledger'!$F:$F,"Yes"))))-SUMIFS('Sales Ledger'!$K:$K,'Sales Ledger'!$A:$A,$A8,'Sales Ledger'!$L:$L,"Clenny"))</f>
        <v/>
      </c>
      <c r="J8" s="30" t="str">
        <f t="array" ref="J8">IF($A8="","",(XLOOKUP($A8,'Shipment Setup'!$A:$A,'Shipment Setup'!$R:$R,0)+SUMIFS('Operations Ledger'!$E:$E,'Operations Ledger'!$A:$A,$A8,'Operations Ledger'!$B:$B,"Clanny",'Operations Ledger'!$F:$F,"Yes"))+((F8-(XLOOKUP($A8,'Shipment Setup'!$A:$A,'Shipment Setup'!$N:$N,0)+SUMIFS('Operations Ledger'!$E:$E,'Operations Ledger'!$A:$A,$A8,'Operations Ledger'!$F:$F,"Yes")))*IF((XLOOKUP($A8,'Shipment Setup'!$A:$A,'Shipment Setup'!$Q:$Q,0)+SUMIFS('Operations Ledger'!$E:$E,'Operations Ledger'!$A:$A,$A8,'Operations Ledger'!$B:$B,"Clenny",'Operations Ledger'!$F:$F,"Yes")+XLOOKUP($A8,'Shipment Setup'!$A:$A,'Shipment Setup'!$R:$R,0)+SUMIFS('Operations Ledger'!$E:$E,'Operations Ledger'!$A:$A,$A8,'Operations Ledger'!$B:$B,"Clanny",'Operations Ledger'!$F:$F,"Yes"))=0,0,(XLOOKUP($A8,'Shipment Setup'!$A:$A,'Shipment Setup'!$R:$R,0)+SUMIFS('Operations Ledger'!$E:$E,'Operations Ledger'!$A:$A,$A8,'Operations Ledger'!$B:$B,"Clanny",'Operations Ledger'!$F:$F,"Yes"))/(XLOOKUP($A8,'Shipment Setup'!$A:$A,'Shipment Setup'!$Q:$Q,0)+SUMIFS('Operations Ledger'!$E:$E,'Operations Ledger'!$A:$A,$A8,'Operations Ledger'!$B:$B,"Clenny",'Operations Ledger'!$F:$F,"Yes")+XLOOKUP($A8,'Shipment Setup'!$A:$A,'Shipment Setup'!$R:$R,0)+SUMIFS('Operations Ledger'!$E:$E,'Operations Ledger'!$A:$A,$A8,'Operations Ledger'!$B:$B,"Clanny",'Operations Ledger'!$F:$F,"Yes"))))-SUMIFS('Sales Ledger'!$K:$K,'Sales Ledger'!$A:$A,$A8,'Sales Ledger'!$L:$L,"Clanny"))</f>
        <v/>
      </c>
      <c r="K8" s="30" t="str">
        <f t="array" ref="K8">IF($A8="","",XLOOKUP($A8,'Shipment Setup'!$A:$A,'Shipment Setup'!$S:$S,""))</f>
        <v/>
      </c>
    </row>
    <row r="9" ht="14.25" customHeight="1">
      <c r="A9" s="30" t="str">
        <f>IF('Shipment Setup'!A9="","",'Shipment Setup'!A9)</f>
        <v/>
      </c>
      <c r="B9" s="30" t="str">
        <f t="array" ref="B9">IF($A9="","",XLOOKUP($A9,'Shipment Setup'!$A:$A,'Shipment Setup'!$B:$B,""))</f>
        <v/>
      </c>
      <c r="C9" s="30" t="str">
        <f t="array" ref="C9">IF($A9="","",XLOOKUP($A9,'Shipment Setup'!$A:$A,'Shipment Setup'!$C:$C,""))</f>
        <v/>
      </c>
      <c r="D9" s="30" t="str">
        <f t="array" ref="D9">IF($A9="","",XLOOKUP($A9,'Shipment Setup'!$A:$A,'Shipment Setup'!$N:$N,0))</f>
        <v/>
      </c>
      <c r="E9" s="30" t="str">
        <f t="array" ref="E9">IF($A9="","",XLOOKUP($A9,'Shipment Setup'!$A:$A,'Shipment Setup'!$P:$P,0))</f>
        <v/>
      </c>
      <c r="F9" s="30" t="str">
        <f>IF($A9="","",SUMIFS('Sales Ledger'!$K:$K,'Sales Ledger'!$A:$A,$A9))</f>
        <v/>
      </c>
      <c r="G9" s="30" t="str">
        <f>IF($A9="","",SUMIFS('Sales Ledger'!$I:$I,'Sales Ledger'!$A:$A,$A9))</f>
        <v/>
      </c>
      <c r="H9" s="30" t="str">
        <f t="array" ref="H9">IF($A9="","",MAX(0,XLOOKUP($A9,'Shipment Setup'!$A:$A,'Shipment Setup'!$L:$L,0)-G9))</f>
        <v/>
      </c>
      <c r="I9" s="30" t="str">
        <f t="array" ref="I9">IF($A9="","",(XLOOKUP($A9,'Shipment Setup'!$A:$A,'Shipment Setup'!$Q:$Q,0)+SUMIFS('Operations Ledger'!$E:$E,'Operations Ledger'!$A:$A,$A9,'Operations Ledger'!$B:$B,"Clenny",'Operations Ledger'!$F:$F,"Yes"))+((F9-(XLOOKUP($A9,'Shipment Setup'!$A:$A,'Shipment Setup'!$N:$N,0)+SUMIFS('Operations Ledger'!$E:$E,'Operations Ledger'!$A:$A,$A9,'Operations Ledger'!$F:$F,"Yes")))*IF((XLOOKUP($A9,'Shipment Setup'!$A:$A,'Shipment Setup'!$Q:$Q,0)+SUMIFS('Operations Ledger'!$E:$E,'Operations Ledger'!$A:$A,$A9,'Operations Ledger'!$B:$B,"Clenny",'Operations Ledger'!$F:$F,"Yes")+XLOOKUP($A9,'Shipment Setup'!$A:$A,'Shipment Setup'!$R:$R,0)+SUMIFS('Operations Ledger'!$E:$E,'Operations Ledger'!$A:$A,$A9,'Operations Ledger'!$B:$B,"Clanny",'Operations Ledger'!$F:$F,"Yes"))=0,0,(XLOOKUP($A9,'Shipment Setup'!$A:$A,'Shipment Setup'!$Q:$Q,0)+SUMIFS('Operations Ledger'!$E:$E,'Operations Ledger'!$A:$A,$A9,'Operations Ledger'!$B:$B,"Clenny",'Operations Ledger'!$F:$F,"Yes"))/(XLOOKUP($A9,'Shipment Setup'!$A:$A,'Shipment Setup'!$Q:$Q,0)+SUMIFS('Operations Ledger'!$E:$E,'Operations Ledger'!$A:$A,$A9,'Operations Ledger'!$B:$B,"Clenny",'Operations Ledger'!$F:$F,"Yes")+XLOOKUP($A9,'Shipment Setup'!$A:$A,'Shipment Setup'!$R:$R,0)+SUMIFS('Operations Ledger'!$E:$E,'Operations Ledger'!$A:$A,$A9,'Operations Ledger'!$B:$B,"Clanny",'Operations Ledger'!$F:$F,"Yes"))))-SUMIFS('Sales Ledger'!$K:$K,'Sales Ledger'!$A:$A,$A9,'Sales Ledger'!$L:$L,"Clenny"))</f>
        <v/>
      </c>
      <c r="J9" s="30" t="str">
        <f t="array" ref="J9">IF($A9="","",(XLOOKUP($A9,'Shipment Setup'!$A:$A,'Shipment Setup'!$R:$R,0)+SUMIFS('Operations Ledger'!$E:$E,'Operations Ledger'!$A:$A,$A9,'Operations Ledger'!$B:$B,"Clanny",'Operations Ledger'!$F:$F,"Yes"))+((F9-(XLOOKUP($A9,'Shipment Setup'!$A:$A,'Shipment Setup'!$N:$N,0)+SUMIFS('Operations Ledger'!$E:$E,'Operations Ledger'!$A:$A,$A9,'Operations Ledger'!$F:$F,"Yes")))*IF((XLOOKUP($A9,'Shipment Setup'!$A:$A,'Shipment Setup'!$Q:$Q,0)+SUMIFS('Operations Ledger'!$E:$E,'Operations Ledger'!$A:$A,$A9,'Operations Ledger'!$B:$B,"Clenny",'Operations Ledger'!$F:$F,"Yes")+XLOOKUP($A9,'Shipment Setup'!$A:$A,'Shipment Setup'!$R:$R,0)+SUMIFS('Operations Ledger'!$E:$E,'Operations Ledger'!$A:$A,$A9,'Operations Ledger'!$B:$B,"Clanny",'Operations Ledger'!$F:$F,"Yes"))=0,0,(XLOOKUP($A9,'Shipment Setup'!$A:$A,'Shipment Setup'!$R:$R,0)+SUMIFS('Operations Ledger'!$E:$E,'Operations Ledger'!$A:$A,$A9,'Operations Ledger'!$B:$B,"Clanny",'Operations Ledger'!$F:$F,"Yes"))/(XLOOKUP($A9,'Shipment Setup'!$A:$A,'Shipment Setup'!$Q:$Q,0)+SUMIFS('Operations Ledger'!$E:$E,'Operations Ledger'!$A:$A,$A9,'Operations Ledger'!$B:$B,"Clenny",'Operations Ledger'!$F:$F,"Yes")+XLOOKUP($A9,'Shipment Setup'!$A:$A,'Shipment Setup'!$R:$R,0)+SUMIFS('Operations Ledger'!$E:$E,'Operations Ledger'!$A:$A,$A9,'Operations Ledger'!$B:$B,"Clanny",'Operations Ledger'!$F:$F,"Yes"))))-SUMIFS('Sales Ledger'!$K:$K,'Sales Ledger'!$A:$A,$A9,'Sales Ledger'!$L:$L,"Clanny"))</f>
        <v/>
      </c>
      <c r="K9" s="30" t="str">
        <f t="array" ref="K9">IF($A9="","",XLOOKUP($A9,'Shipment Setup'!$A:$A,'Shipment Setup'!$S:$S,""))</f>
        <v/>
      </c>
    </row>
    <row r="10" ht="14.25" customHeight="1">
      <c r="A10" s="30" t="str">
        <f>IF('Shipment Setup'!A10="","",'Shipment Setup'!A10)</f>
        <v/>
      </c>
      <c r="B10" s="30" t="str">
        <f t="array" ref="B10">IF($A10="","",XLOOKUP($A10,'Shipment Setup'!$A:$A,'Shipment Setup'!$B:$B,""))</f>
        <v/>
      </c>
      <c r="C10" s="30" t="str">
        <f t="array" ref="C10">IF($A10="","",XLOOKUP($A10,'Shipment Setup'!$A:$A,'Shipment Setup'!$C:$C,""))</f>
        <v/>
      </c>
      <c r="D10" s="30" t="str">
        <f t="array" ref="D10">IF($A10="","",XLOOKUP($A10,'Shipment Setup'!$A:$A,'Shipment Setup'!$N:$N,0))</f>
        <v/>
      </c>
      <c r="E10" s="30" t="str">
        <f t="array" ref="E10">IF($A10="","",XLOOKUP($A10,'Shipment Setup'!$A:$A,'Shipment Setup'!$P:$P,0))</f>
        <v/>
      </c>
      <c r="F10" s="30" t="str">
        <f>IF($A10="","",SUMIFS('Sales Ledger'!$K:$K,'Sales Ledger'!$A:$A,$A10))</f>
        <v/>
      </c>
      <c r="G10" s="30" t="str">
        <f>IF($A10="","",SUMIFS('Sales Ledger'!$I:$I,'Sales Ledger'!$A:$A,$A10))</f>
        <v/>
      </c>
      <c r="H10" s="30" t="str">
        <f t="array" ref="H10">IF($A10="","",MAX(0,XLOOKUP($A10,'Shipment Setup'!$A:$A,'Shipment Setup'!$L:$L,0)-G10))</f>
        <v/>
      </c>
      <c r="I10" s="30" t="str">
        <f t="array" ref="I10">IF($A10="","",(XLOOKUP($A10,'Shipment Setup'!$A:$A,'Shipment Setup'!$Q:$Q,0)+SUMIFS('Operations Ledger'!$E:$E,'Operations Ledger'!$A:$A,$A10,'Operations Ledger'!$B:$B,"Clenny",'Operations Ledger'!$F:$F,"Yes"))+((F10-(XLOOKUP($A10,'Shipment Setup'!$A:$A,'Shipment Setup'!$N:$N,0)+SUMIFS('Operations Ledger'!$E:$E,'Operations Ledger'!$A:$A,$A10,'Operations Ledger'!$F:$F,"Yes")))*IF((XLOOKUP($A10,'Shipment Setup'!$A:$A,'Shipment Setup'!$Q:$Q,0)+SUMIFS('Operations Ledger'!$E:$E,'Operations Ledger'!$A:$A,$A10,'Operations Ledger'!$B:$B,"Clenny",'Operations Ledger'!$F:$F,"Yes")+XLOOKUP($A10,'Shipment Setup'!$A:$A,'Shipment Setup'!$R:$R,0)+SUMIFS('Operations Ledger'!$E:$E,'Operations Ledger'!$A:$A,$A10,'Operations Ledger'!$B:$B,"Clanny",'Operations Ledger'!$F:$F,"Yes"))=0,0,(XLOOKUP($A10,'Shipment Setup'!$A:$A,'Shipment Setup'!$Q:$Q,0)+SUMIFS('Operations Ledger'!$E:$E,'Operations Ledger'!$A:$A,$A10,'Operations Ledger'!$B:$B,"Clenny",'Operations Ledger'!$F:$F,"Yes"))/(XLOOKUP($A10,'Shipment Setup'!$A:$A,'Shipment Setup'!$Q:$Q,0)+SUMIFS('Operations Ledger'!$E:$E,'Operations Ledger'!$A:$A,$A10,'Operations Ledger'!$B:$B,"Clenny",'Operations Ledger'!$F:$F,"Yes")+XLOOKUP($A10,'Shipment Setup'!$A:$A,'Shipment Setup'!$R:$R,0)+SUMIFS('Operations Ledger'!$E:$E,'Operations Ledger'!$A:$A,$A10,'Operations Ledger'!$B:$B,"Clanny",'Operations Ledger'!$F:$F,"Yes"))))-SUMIFS('Sales Ledger'!$K:$K,'Sales Ledger'!$A:$A,$A10,'Sales Ledger'!$L:$L,"Clenny"))</f>
        <v/>
      </c>
      <c r="J10" s="30" t="str">
        <f t="array" ref="J10">IF($A10="","",(XLOOKUP($A10,'Shipment Setup'!$A:$A,'Shipment Setup'!$R:$R,0)+SUMIFS('Operations Ledger'!$E:$E,'Operations Ledger'!$A:$A,$A10,'Operations Ledger'!$B:$B,"Clanny",'Operations Ledger'!$F:$F,"Yes"))+((F10-(XLOOKUP($A10,'Shipment Setup'!$A:$A,'Shipment Setup'!$N:$N,0)+SUMIFS('Operations Ledger'!$E:$E,'Operations Ledger'!$A:$A,$A10,'Operations Ledger'!$F:$F,"Yes")))*IF((XLOOKUP($A10,'Shipment Setup'!$A:$A,'Shipment Setup'!$Q:$Q,0)+SUMIFS('Operations Ledger'!$E:$E,'Operations Ledger'!$A:$A,$A10,'Operations Ledger'!$B:$B,"Clenny",'Operations Ledger'!$F:$F,"Yes")+XLOOKUP($A10,'Shipment Setup'!$A:$A,'Shipment Setup'!$R:$R,0)+SUMIFS('Operations Ledger'!$E:$E,'Operations Ledger'!$A:$A,$A10,'Operations Ledger'!$B:$B,"Clanny",'Operations Ledger'!$F:$F,"Yes"))=0,0,(XLOOKUP($A10,'Shipment Setup'!$A:$A,'Shipment Setup'!$R:$R,0)+SUMIFS('Operations Ledger'!$E:$E,'Operations Ledger'!$A:$A,$A10,'Operations Ledger'!$B:$B,"Clanny",'Operations Ledger'!$F:$F,"Yes"))/(XLOOKUP($A10,'Shipment Setup'!$A:$A,'Shipment Setup'!$Q:$Q,0)+SUMIFS('Operations Ledger'!$E:$E,'Operations Ledger'!$A:$A,$A10,'Operations Ledger'!$B:$B,"Clenny",'Operations Ledger'!$F:$F,"Yes")+XLOOKUP($A10,'Shipment Setup'!$A:$A,'Shipment Setup'!$R:$R,0)+SUMIFS('Operations Ledger'!$E:$E,'Operations Ledger'!$A:$A,$A10,'Operations Ledger'!$B:$B,"Clanny",'Operations Ledger'!$F:$F,"Yes"))))-SUMIFS('Sales Ledger'!$K:$K,'Sales Ledger'!$A:$A,$A10,'Sales Ledger'!$L:$L,"Clanny"))</f>
        <v/>
      </c>
      <c r="K10" s="30" t="str">
        <f t="array" ref="K10">IF($A10="","",XLOOKUP($A10,'Shipment Setup'!$A:$A,'Shipment Setup'!$S:$S,""))</f>
        <v/>
      </c>
    </row>
    <row r="11" ht="14.25" customHeight="1">
      <c r="A11" s="30" t="str">
        <f>IF('Shipment Setup'!A11="","",'Shipment Setup'!A11)</f>
        <v/>
      </c>
      <c r="B11" s="30" t="str">
        <f t="array" ref="B11">IF($A11="","",XLOOKUP($A11,'Shipment Setup'!$A:$A,'Shipment Setup'!$B:$B,""))</f>
        <v/>
      </c>
      <c r="C11" s="30" t="str">
        <f t="array" ref="C11">IF($A11="","",XLOOKUP($A11,'Shipment Setup'!$A:$A,'Shipment Setup'!$C:$C,""))</f>
        <v/>
      </c>
      <c r="D11" s="30" t="str">
        <f t="array" ref="D11">IF($A11="","",XLOOKUP($A11,'Shipment Setup'!$A:$A,'Shipment Setup'!$N:$N,0))</f>
        <v/>
      </c>
      <c r="E11" s="30" t="str">
        <f t="array" ref="E11">IF($A11="","",XLOOKUP($A11,'Shipment Setup'!$A:$A,'Shipment Setup'!$P:$P,0))</f>
        <v/>
      </c>
      <c r="F11" s="30" t="str">
        <f>IF($A11="","",SUMIFS('Sales Ledger'!$K:$K,'Sales Ledger'!$A:$A,$A11))</f>
        <v/>
      </c>
      <c r="G11" s="30" t="str">
        <f>IF($A11="","",SUMIFS('Sales Ledger'!$I:$I,'Sales Ledger'!$A:$A,$A11))</f>
        <v/>
      </c>
      <c r="H11" s="30" t="str">
        <f t="array" ref="H11">IF($A11="","",MAX(0,XLOOKUP($A11,'Shipment Setup'!$A:$A,'Shipment Setup'!$L:$L,0)-G11))</f>
        <v/>
      </c>
      <c r="I11" s="30" t="str">
        <f t="array" ref="I11">IF($A11="","",(XLOOKUP($A11,'Shipment Setup'!$A:$A,'Shipment Setup'!$Q:$Q,0)+SUMIFS('Operations Ledger'!$E:$E,'Operations Ledger'!$A:$A,$A11,'Operations Ledger'!$B:$B,"Clenny",'Operations Ledger'!$F:$F,"Yes"))+((F11-(XLOOKUP($A11,'Shipment Setup'!$A:$A,'Shipment Setup'!$N:$N,0)+SUMIFS('Operations Ledger'!$E:$E,'Operations Ledger'!$A:$A,$A11,'Operations Ledger'!$F:$F,"Yes")))*IF((XLOOKUP($A11,'Shipment Setup'!$A:$A,'Shipment Setup'!$Q:$Q,0)+SUMIFS('Operations Ledger'!$E:$E,'Operations Ledger'!$A:$A,$A11,'Operations Ledger'!$B:$B,"Clenny",'Operations Ledger'!$F:$F,"Yes")+XLOOKUP($A11,'Shipment Setup'!$A:$A,'Shipment Setup'!$R:$R,0)+SUMIFS('Operations Ledger'!$E:$E,'Operations Ledger'!$A:$A,$A11,'Operations Ledger'!$B:$B,"Clanny",'Operations Ledger'!$F:$F,"Yes"))=0,0,(XLOOKUP($A11,'Shipment Setup'!$A:$A,'Shipment Setup'!$Q:$Q,0)+SUMIFS('Operations Ledger'!$E:$E,'Operations Ledger'!$A:$A,$A11,'Operations Ledger'!$B:$B,"Clenny",'Operations Ledger'!$F:$F,"Yes"))/(XLOOKUP($A11,'Shipment Setup'!$A:$A,'Shipment Setup'!$Q:$Q,0)+SUMIFS('Operations Ledger'!$E:$E,'Operations Ledger'!$A:$A,$A11,'Operations Ledger'!$B:$B,"Clenny",'Operations Ledger'!$F:$F,"Yes")+XLOOKUP($A11,'Shipment Setup'!$A:$A,'Shipment Setup'!$R:$R,0)+SUMIFS('Operations Ledger'!$E:$E,'Operations Ledger'!$A:$A,$A11,'Operations Ledger'!$B:$B,"Clanny",'Operations Ledger'!$F:$F,"Yes"))))-SUMIFS('Sales Ledger'!$K:$K,'Sales Ledger'!$A:$A,$A11,'Sales Ledger'!$L:$L,"Clenny"))</f>
        <v/>
      </c>
      <c r="J11" s="30" t="str">
        <f t="array" ref="J11">IF($A11="","",(XLOOKUP($A11,'Shipment Setup'!$A:$A,'Shipment Setup'!$R:$R,0)+SUMIFS('Operations Ledger'!$E:$E,'Operations Ledger'!$A:$A,$A11,'Operations Ledger'!$B:$B,"Clanny",'Operations Ledger'!$F:$F,"Yes"))+((F11-(XLOOKUP($A11,'Shipment Setup'!$A:$A,'Shipment Setup'!$N:$N,0)+SUMIFS('Operations Ledger'!$E:$E,'Operations Ledger'!$A:$A,$A11,'Operations Ledger'!$F:$F,"Yes")))*IF((XLOOKUP($A11,'Shipment Setup'!$A:$A,'Shipment Setup'!$Q:$Q,0)+SUMIFS('Operations Ledger'!$E:$E,'Operations Ledger'!$A:$A,$A11,'Operations Ledger'!$B:$B,"Clenny",'Operations Ledger'!$F:$F,"Yes")+XLOOKUP($A11,'Shipment Setup'!$A:$A,'Shipment Setup'!$R:$R,0)+SUMIFS('Operations Ledger'!$E:$E,'Operations Ledger'!$A:$A,$A11,'Operations Ledger'!$B:$B,"Clanny",'Operations Ledger'!$F:$F,"Yes"))=0,0,(XLOOKUP($A11,'Shipment Setup'!$A:$A,'Shipment Setup'!$R:$R,0)+SUMIFS('Operations Ledger'!$E:$E,'Operations Ledger'!$A:$A,$A11,'Operations Ledger'!$B:$B,"Clanny",'Operations Ledger'!$F:$F,"Yes"))/(XLOOKUP($A11,'Shipment Setup'!$A:$A,'Shipment Setup'!$Q:$Q,0)+SUMIFS('Operations Ledger'!$E:$E,'Operations Ledger'!$A:$A,$A11,'Operations Ledger'!$B:$B,"Clenny",'Operations Ledger'!$F:$F,"Yes")+XLOOKUP($A11,'Shipment Setup'!$A:$A,'Shipment Setup'!$R:$R,0)+SUMIFS('Operations Ledger'!$E:$E,'Operations Ledger'!$A:$A,$A11,'Operations Ledger'!$B:$B,"Clanny",'Operations Ledger'!$F:$F,"Yes"))))-SUMIFS('Sales Ledger'!$K:$K,'Sales Ledger'!$A:$A,$A11,'Sales Ledger'!$L:$L,"Clanny"))</f>
        <v/>
      </c>
      <c r="K11" s="30" t="str">
        <f t="array" ref="K11">IF($A11="","",XLOOKUP($A11,'Shipment Setup'!$A:$A,'Shipment Setup'!$S:$S,""))</f>
        <v/>
      </c>
    </row>
    <row r="12" ht="14.25" customHeight="1">
      <c r="A12" s="30" t="str">
        <f>IF('Shipment Setup'!A12="","",'Shipment Setup'!A12)</f>
        <v/>
      </c>
      <c r="B12" s="30" t="str">
        <f t="array" ref="B12">IF($A12="","",XLOOKUP($A12,'Shipment Setup'!$A:$A,'Shipment Setup'!$B:$B,""))</f>
        <v/>
      </c>
      <c r="C12" s="30" t="str">
        <f t="array" ref="C12">IF($A12="","",XLOOKUP($A12,'Shipment Setup'!$A:$A,'Shipment Setup'!$C:$C,""))</f>
        <v/>
      </c>
      <c r="D12" s="30" t="str">
        <f t="array" ref="D12">IF($A12="","",XLOOKUP($A12,'Shipment Setup'!$A:$A,'Shipment Setup'!$N:$N,0))</f>
        <v/>
      </c>
      <c r="E12" s="30" t="str">
        <f t="array" ref="E12">IF($A12="","",XLOOKUP($A12,'Shipment Setup'!$A:$A,'Shipment Setup'!$P:$P,0))</f>
        <v/>
      </c>
      <c r="F12" s="30" t="str">
        <f>IF($A12="","",SUMIFS('Sales Ledger'!$K:$K,'Sales Ledger'!$A:$A,$A12))</f>
        <v/>
      </c>
      <c r="G12" s="30" t="str">
        <f>IF($A12="","",SUMIFS('Sales Ledger'!$I:$I,'Sales Ledger'!$A:$A,$A12))</f>
        <v/>
      </c>
      <c r="H12" s="30" t="str">
        <f t="array" ref="H12">IF($A12="","",MAX(0,XLOOKUP($A12,'Shipment Setup'!$A:$A,'Shipment Setup'!$L:$L,0)-G12))</f>
        <v/>
      </c>
      <c r="I12" s="30" t="str">
        <f t="array" ref="I12">IF($A12="","",(XLOOKUP($A12,'Shipment Setup'!$A:$A,'Shipment Setup'!$Q:$Q,0)+SUMIFS('Operations Ledger'!$E:$E,'Operations Ledger'!$A:$A,$A12,'Operations Ledger'!$B:$B,"Clenny",'Operations Ledger'!$F:$F,"Yes"))+((F12-(XLOOKUP($A12,'Shipment Setup'!$A:$A,'Shipment Setup'!$N:$N,0)+SUMIFS('Operations Ledger'!$E:$E,'Operations Ledger'!$A:$A,$A12,'Operations Ledger'!$F:$F,"Yes")))*IF((XLOOKUP($A12,'Shipment Setup'!$A:$A,'Shipment Setup'!$Q:$Q,0)+SUMIFS('Operations Ledger'!$E:$E,'Operations Ledger'!$A:$A,$A12,'Operations Ledger'!$B:$B,"Clenny",'Operations Ledger'!$F:$F,"Yes")+XLOOKUP($A12,'Shipment Setup'!$A:$A,'Shipment Setup'!$R:$R,0)+SUMIFS('Operations Ledger'!$E:$E,'Operations Ledger'!$A:$A,$A12,'Operations Ledger'!$B:$B,"Clanny",'Operations Ledger'!$F:$F,"Yes"))=0,0,(XLOOKUP($A12,'Shipment Setup'!$A:$A,'Shipment Setup'!$Q:$Q,0)+SUMIFS('Operations Ledger'!$E:$E,'Operations Ledger'!$A:$A,$A12,'Operations Ledger'!$B:$B,"Clenny",'Operations Ledger'!$F:$F,"Yes"))/(XLOOKUP($A12,'Shipment Setup'!$A:$A,'Shipment Setup'!$Q:$Q,0)+SUMIFS('Operations Ledger'!$E:$E,'Operations Ledger'!$A:$A,$A12,'Operations Ledger'!$B:$B,"Clenny",'Operations Ledger'!$F:$F,"Yes")+XLOOKUP($A12,'Shipment Setup'!$A:$A,'Shipment Setup'!$R:$R,0)+SUMIFS('Operations Ledger'!$E:$E,'Operations Ledger'!$A:$A,$A12,'Operations Ledger'!$B:$B,"Clanny",'Operations Ledger'!$F:$F,"Yes"))))-SUMIFS('Sales Ledger'!$K:$K,'Sales Ledger'!$A:$A,$A12,'Sales Ledger'!$L:$L,"Clenny"))</f>
        <v/>
      </c>
      <c r="J12" s="30" t="str">
        <f t="array" ref="J12">IF($A12="","",(XLOOKUP($A12,'Shipment Setup'!$A:$A,'Shipment Setup'!$R:$R,0)+SUMIFS('Operations Ledger'!$E:$E,'Operations Ledger'!$A:$A,$A12,'Operations Ledger'!$B:$B,"Clanny",'Operations Ledger'!$F:$F,"Yes"))+((F12-(XLOOKUP($A12,'Shipment Setup'!$A:$A,'Shipment Setup'!$N:$N,0)+SUMIFS('Operations Ledger'!$E:$E,'Operations Ledger'!$A:$A,$A12,'Operations Ledger'!$F:$F,"Yes")))*IF((XLOOKUP($A12,'Shipment Setup'!$A:$A,'Shipment Setup'!$Q:$Q,0)+SUMIFS('Operations Ledger'!$E:$E,'Operations Ledger'!$A:$A,$A12,'Operations Ledger'!$B:$B,"Clenny",'Operations Ledger'!$F:$F,"Yes")+XLOOKUP($A12,'Shipment Setup'!$A:$A,'Shipment Setup'!$R:$R,0)+SUMIFS('Operations Ledger'!$E:$E,'Operations Ledger'!$A:$A,$A12,'Operations Ledger'!$B:$B,"Clanny",'Operations Ledger'!$F:$F,"Yes"))=0,0,(XLOOKUP($A12,'Shipment Setup'!$A:$A,'Shipment Setup'!$R:$R,0)+SUMIFS('Operations Ledger'!$E:$E,'Operations Ledger'!$A:$A,$A12,'Operations Ledger'!$B:$B,"Clanny",'Operations Ledger'!$F:$F,"Yes"))/(XLOOKUP($A12,'Shipment Setup'!$A:$A,'Shipment Setup'!$Q:$Q,0)+SUMIFS('Operations Ledger'!$E:$E,'Operations Ledger'!$A:$A,$A12,'Operations Ledger'!$B:$B,"Clenny",'Operations Ledger'!$F:$F,"Yes")+XLOOKUP($A12,'Shipment Setup'!$A:$A,'Shipment Setup'!$R:$R,0)+SUMIFS('Operations Ledger'!$E:$E,'Operations Ledger'!$A:$A,$A12,'Operations Ledger'!$B:$B,"Clanny",'Operations Ledger'!$F:$F,"Yes"))))-SUMIFS('Sales Ledger'!$K:$K,'Sales Ledger'!$A:$A,$A12,'Sales Ledger'!$L:$L,"Clanny"))</f>
        <v/>
      </c>
      <c r="K12" s="30" t="str">
        <f t="array" ref="K12">IF($A12="","",XLOOKUP($A12,'Shipment Setup'!$A:$A,'Shipment Setup'!$S:$S,""))</f>
        <v/>
      </c>
    </row>
    <row r="13" ht="14.25" customHeight="1">
      <c r="A13" s="30" t="str">
        <f>IF('Shipment Setup'!A13="","",'Shipment Setup'!A13)</f>
        <v/>
      </c>
      <c r="B13" s="30" t="str">
        <f t="array" ref="B13">IF($A13="","",XLOOKUP($A13,'Shipment Setup'!$A:$A,'Shipment Setup'!$B:$B,""))</f>
        <v/>
      </c>
      <c r="C13" s="30" t="str">
        <f t="array" ref="C13">IF($A13="","",XLOOKUP($A13,'Shipment Setup'!$A:$A,'Shipment Setup'!$C:$C,""))</f>
        <v/>
      </c>
      <c r="D13" s="30" t="str">
        <f t="array" ref="D13">IF($A13="","",XLOOKUP($A13,'Shipment Setup'!$A:$A,'Shipment Setup'!$N:$N,0))</f>
        <v/>
      </c>
      <c r="E13" s="30" t="str">
        <f t="array" ref="E13">IF($A13="","",XLOOKUP($A13,'Shipment Setup'!$A:$A,'Shipment Setup'!$P:$P,0))</f>
        <v/>
      </c>
      <c r="F13" s="30" t="str">
        <f>IF($A13="","",SUMIFS('Sales Ledger'!$K:$K,'Sales Ledger'!$A:$A,$A13))</f>
        <v/>
      </c>
      <c r="G13" s="30" t="str">
        <f>IF($A13="","",SUMIFS('Sales Ledger'!$I:$I,'Sales Ledger'!$A:$A,$A13))</f>
        <v/>
      </c>
      <c r="H13" s="30" t="str">
        <f t="array" ref="H13">IF($A13="","",MAX(0,XLOOKUP($A13,'Shipment Setup'!$A:$A,'Shipment Setup'!$L:$L,0)-G13))</f>
        <v/>
      </c>
      <c r="I13" s="30" t="str">
        <f t="array" ref="I13">IF($A13="","",(XLOOKUP($A13,'Shipment Setup'!$A:$A,'Shipment Setup'!$Q:$Q,0)+SUMIFS('Operations Ledger'!$E:$E,'Operations Ledger'!$A:$A,$A13,'Operations Ledger'!$B:$B,"Clenny",'Operations Ledger'!$F:$F,"Yes"))+((F13-(XLOOKUP($A13,'Shipment Setup'!$A:$A,'Shipment Setup'!$N:$N,0)+SUMIFS('Operations Ledger'!$E:$E,'Operations Ledger'!$A:$A,$A13,'Operations Ledger'!$F:$F,"Yes")))*IF((XLOOKUP($A13,'Shipment Setup'!$A:$A,'Shipment Setup'!$Q:$Q,0)+SUMIFS('Operations Ledger'!$E:$E,'Operations Ledger'!$A:$A,$A13,'Operations Ledger'!$B:$B,"Clenny",'Operations Ledger'!$F:$F,"Yes")+XLOOKUP($A13,'Shipment Setup'!$A:$A,'Shipment Setup'!$R:$R,0)+SUMIFS('Operations Ledger'!$E:$E,'Operations Ledger'!$A:$A,$A13,'Operations Ledger'!$B:$B,"Clanny",'Operations Ledger'!$F:$F,"Yes"))=0,0,(XLOOKUP($A13,'Shipment Setup'!$A:$A,'Shipment Setup'!$Q:$Q,0)+SUMIFS('Operations Ledger'!$E:$E,'Operations Ledger'!$A:$A,$A13,'Operations Ledger'!$B:$B,"Clenny",'Operations Ledger'!$F:$F,"Yes"))/(XLOOKUP($A13,'Shipment Setup'!$A:$A,'Shipment Setup'!$Q:$Q,0)+SUMIFS('Operations Ledger'!$E:$E,'Operations Ledger'!$A:$A,$A13,'Operations Ledger'!$B:$B,"Clenny",'Operations Ledger'!$F:$F,"Yes")+XLOOKUP($A13,'Shipment Setup'!$A:$A,'Shipment Setup'!$R:$R,0)+SUMIFS('Operations Ledger'!$E:$E,'Operations Ledger'!$A:$A,$A13,'Operations Ledger'!$B:$B,"Clanny",'Operations Ledger'!$F:$F,"Yes"))))-SUMIFS('Sales Ledger'!$K:$K,'Sales Ledger'!$A:$A,$A13,'Sales Ledger'!$L:$L,"Clenny"))</f>
        <v/>
      </c>
      <c r="J13" s="30" t="str">
        <f t="array" ref="J13">IF($A13="","",(XLOOKUP($A13,'Shipment Setup'!$A:$A,'Shipment Setup'!$R:$R,0)+SUMIFS('Operations Ledger'!$E:$E,'Operations Ledger'!$A:$A,$A13,'Operations Ledger'!$B:$B,"Clanny",'Operations Ledger'!$F:$F,"Yes"))+((F13-(XLOOKUP($A13,'Shipment Setup'!$A:$A,'Shipment Setup'!$N:$N,0)+SUMIFS('Operations Ledger'!$E:$E,'Operations Ledger'!$A:$A,$A13,'Operations Ledger'!$F:$F,"Yes")))*IF((XLOOKUP($A13,'Shipment Setup'!$A:$A,'Shipment Setup'!$Q:$Q,0)+SUMIFS('Operations Ledger'!$E:$E,'Operations Ledger'!$A:$A,$A13,'Operations Ledger'!$B:$B,"Clenny",'Operations Ledger'!$F:$F,"Yes")+XLOOKUP($A13,'Shipment Setup'!$A:$A,'Shipment Setup'!$R:$R,0)+SUMIFS('Operations Ledger'!$E:$E,'Operations Ledger'!$A:$A,$A13,'Operations Ledger'!$B:$B,"Clanny",'Operations Ledger'!$F:$F,"Yes"))=0,0,(XLOOKUP($A13,'Shipment Setup'!$A:$A,'Shipment Setup'!$R:$R,0)+SUMIFS('Operations Ledger'!$E:$E,'Operations Ledger'!$A:$A,$A13,'Operations Ledger'!$B:$B,"Clanny",'Operations Ledger'!$F:$F,"Yes"))/(XLOOKUP($A13,'Shipment Setup'!$A:$A,'Shipment Setup'!$Q:$Q,0)+SUMIFS('Operations Ledger'!$E:$E,'Operations Ledger'!$A:$A,$A13,'Operations Ledger'!$B:$B,"Clenny",'Operations Ledger'!$F:$F,"Yes")+XLOOKUP($A13,'Shipment Setup'!$A:$A,'Shipment Setup'!$R:$R,0)+SUMIFS('Operations Ledger'!$E:$E,'Operations Ledger'!$A:$A,$A13,'Operations Ledger'!$B:$B,"Clanny",'Operations Ledger'!$F:$F,"Yes"))))-SUMIFS('Sales Ledger'!$K:$K,'Sales Ledger'!$A:$A,$A13,'Sales Ledger'!$L:$L,"Clanny"))</f>
        <v/>
      </c>
      <c r="K13" s="30" t="str">
        <f t="array" ref="K13">IF($A13="","",XLOOKUP($A13,'Shipment Setup'!$A:$A,'Shipment Setup'!$S:$S,""))</f>
        <v/>
      </c>
    </row>
    <row r="14" ht="14.25" customHeight="1">
      <c r="A14" s="30" t="str">
        <f>IF('Shipment Setup'!A14="","",'Shipment Setup'!A14)</f>
        <v/>
      </c>
      <c r="B14" s="30" t="str">
        <f t="array" ref="B14">IF($A14="","",XLOOKUP($A14,'Shipment Setup'!$A:$A,'Shipment Setup'!$B:$B,""))</f>
        <v/>
      </c>
      <c r="C14" s="30" t="str">
        <f t="array" ref="C14">IF($A14="","",XLOOKUP($A14,'Shipment Setup'!$A:$A,'Shipment Setup'!$C:$C,""))</f>
        <v/>
      </c>
      <c r="D14" s="30" t="str">
        <f t="array" ref="D14">IF($A14="","",XLOOKUP($A14,'Shipment Setup'!$A:$A,'Shipment Setup'!$N:$N,0))</f>
        <v/>
      </c>
      <c r="E14" s="30" t="str">
        <f t="array" ref="E14">IF($A14="","",XLOOKUP($A14,'Shipment Setup'!$A:$A,'Shipment Setup'!$P:$P,0))</f>
        <v/>
      </c>
      <c r="F14" s="30" t="str">
        <f>IF($A14="","",SUMIFS('Sales Ledger'!$K:$K,'Sales Ledger'!$A:$A,$A14))</f>
        <v/>
      </c>
      <c r="G14" s="30" t="str">
        <f>IF($A14="","",SUMIFS('Sales Ledger'!$I:$I,'Sales Ledger'!$A:$A,$A14))</f>
        <v/>
      </c>
      <c r="H14" s="30" t="str">
        <f t="array" ref="H14">IF($A14="","",MAX(0,XLOOKUP($A14,'Shipment Setup'!$A:$A,'Shipment Setup'!$L:$L,0)-G14))</f>
        <v/>
      </c>
      <c r="I14" s="30" t="str">
        <f t="array" ref="I14">IF($A14="","",(XLOOKUP($A14,'Shipment Setup'!$A:$A,'Shipment Setup'!$Q:$Q,0)+SUMIFS('Operations Ledger'!$E:$E,'Operations Ledger'!$A:$A,$A14,'Operations Ledger'!$B:$B,"Clenny",'Operations Ledger'!$F:$F,"Yes"))+((F14-(XLOOKUP($A14,'Shipment Setup'!$A:$A,'Shipment Setup'!$N:$N,0)+SUMIFS('Operations Ledger'!$E:$E,'Operations Ledger'!$A:$A,$A14,'Operations Ledger'!$F:$F,"Yes")))*IF((XLOOKUP($A14,'Shipment Setup'!$A:$A,'Shipment Setup'!$Q:$Q,0)+SUMIFS('Operations Ledger'!$E:$E,'Operations Ledger'!$A:$A,$A14,'Operations Ledger'!$B:$B,"Clenny",'Operations Ledger'!$F:$F,"Yes")+XLOOKUP($A14,'Shipment Setup'!$A:$A,'Shipment Setup'!$R:$R,0)+SUMIFS('Operations Ledger'!$E:$E,'Operations Ledger'!$A:$A,$A14,'Operations Ledger'!$B:$B,"Clanny",'Operations Ledger'!$F:$F,"Yes"))=0,0,(XLOOKUP($A14,'Shipment Setup'!$A:$A,'Shipment Setup'!$Q:$Q,0)+SUMIFS('Operations Ledger'!$E:$E,'Operations Ledger'!$A:$A,$A14,'Operations Ledger'!$B:$B,"Clenny",'Operations Ledger'!$F:$F,"Yes"))/(XLOOKUP($A14,'Shipment Setup'!$A:$A,'Shipment Setup'!$Q:$Q,0)+SUMIFS('Operations Ledger'!$E:$E,'Operations Ledger'!$A:$A,$A14,'Operations Ledger'!$B:$B,"Clenny",'Operations Ledger'!$F:$F,"Yes")+XLOOKUP($A14,'Shipment Setup'!$A:$A,'Shipment Setup'!$R:$R,0)+SUMIFS('Operations Ledger'!$E:$E,'Operations Ledger'!$A:$A,$A14,'Operations Ledger'!$B:$B,"Clanny",'Operations Ledger'!$F:$F,"Yes"))))-SUMIFS('Sales Ledger'!$K:$K,'Sales Ledger'!$A:$A,$A14,'Sales Ledger'!$L:$L,"Clenny"))</f>
        <v/>
      </c>
      <c r="J14" s="30" t="str">
        <f t="array" ref="J14">IF($A14="","",(XLOOKUP($A14,'Shipment Setup'!$A:$A,'Shipment Setup'!$R:$R,0)+SUMIFS('Operations Ledger'!$E:$E,'Operations Ledger'!$A:$A,$A14,'Operations Ledger'!$B:$B,"Clanny",'Operations Ledger'!$F:$F,"Yes"))+((F14-(XLOOKUP($A14,'Shipment Setup'!$A:$A,'Shipment Setup'!$N:$N,0)+SUMIFS('Operations Ledger'!$E:$E,'Operations Ledger'!$A:$A,$A14,'Operations Ledger'!$F:$F,"Yes")))*IF((XLOOKUP($A14,'Shipment Setup'!$A:$A,'Shipment Setup'!$Q:$Q,0)+SUMIFS('Operations Ledger'!$E:$E,'Operations Ledger'!$A:$A,$A14,'Operations Ledger'!$B:$B,"Clenny",'Operations Ledger'!$F:$F,"Yes")+XLOOKUP($A14,'Shipment Setup'!$A:$A,'Shipment Setup'!$R:$R,0)+SUMIFS('Operations Ledger'!$E:$E,'Operations Ledger'!$A:$A,$A14,'Operations Ledger'!$B:$B,"Clanny",'Operations Ledger'!$F:$F,"Yes"))=0,0,(XLOOKUP($A14,'Shipment Setup'!$A:$A,'Shipment Setup'!$R:$R,0)+SUMIFS('Operations Ledger'!$E:$E,'Operations Ledger'!$A:$A,$A14,'Operations Ledger'!$B:$B,"Clanny",'Operations Ledger'!$F:$F,"Yes"))/(XLOOKUP($A14,'Shipment Setup'!$A:$A,'Shipment Setup'!$Q:$Q,0)+SUMIFS('Operations Ledger'!$E:$E,'Operations Ledger'!$A:$A,$A14,'Operations Ledger'!$B:$B,"Clenny",'Operations Ledger'!$F:$F,"Yes")+XLOOKUP($A14,'Shipment Setup'!$A:$A,'Shipment Setup'!$R:$R,0)+SUMIFS('Operations Ledger'!$E:$E,'Operations Ledger'!$A:$A,$A14,'Operations Ledger'!$B:$B,"Clanny",'Operations Ledger'!$F:$F,"Yes"))))-SUMIFS('Sales Ledger'!$K:$K,'Sales Ledger'!$A:$A,$A14,'Sales Ledger'!$L:$L,"Clanny"))</f>
        <v/>
      </c>
      <c r="K14" s="30" t="str">
        <f t="array" ref="K14">IF($A14="","",XLOOKUP($A14,'Shipment Setup'!$A:$A,'Shipment Setup'!$S:$S,""))</f>
        <v/>
      </c>
    </row>
    <row r="15" ht="14.25" customHeight="1">
      <c r="A15" s="30" t="str">
        <f>IF('Shipment Setup'!A15="","",'Shipment Setup'!A15)</f>
        <v/>
      </c>
      <c r="B15" s="30" t="str">
        <f t="array" ref="B15">IF($A15="","",XLOOKUP($A15,'Shipment Setup'!$A:$A,'Shipment Setup'!$B:$B,""))</f>
        <v/>
      </c>
      <c r="C15" s="30" t="str">
        <f t="array" ref="C15">IF($A15="","",XLOOKUP($A15,'Shipment Setup'!$A:$A,'Shipment Setup'!$C:$C,""))</f>
        <v/>
      </c>
      <c r="D15" s="30" t="str">
        <f t="array" ref="D15">IF($A15="","",XLOOKUP($A15,'Shipment Setup'!$A:$A,'Shipment Setup'!$N:$N,0))</f>
        <v/>
      </c>
      <c r="E15" s="30" t="str">
        <f t="array" ref="E15">IF($A15="","",XLOOKUP($A15,'Shipment Setup'!$A:$A,'Shipment Setup'!$P:$P,0))</f>
        <v/>
      </c>
      <c r="F15" s="30" t="str">
        <f>IF($A15="","",SUMIFS('Sales Ledger'!$K:$K,'Sales Ledger'!$A:$A,$A15))</f>
        <v/>
      </c>
      <c r="G15" s="30" t="str">
        <f>IF($A15="","",SUMIFS('Sales Ledger'!$I:$I,'Sales Ledger'!$A:$A,$A15))</f>
        <v/>
      </c>
      <c r="H15" s="30" t="str">
        <f t="array" ref="H15">IF($A15="","",MAX(0,XLOOKUP($A15,'Shipment Setup'!$A:$A,'Shipment Setup'!$L:$L,0)-G15))</f>
        <v/>
      </c>
      <c r="I15" s="30" t="str">
        <f t="array" ref="I15">IF($A15="","",(XLOOKUP($A15,'Shipment Setup'!$A:$A,'Shipment Setup'!$Q:$Q,0)+SUMIFS('Operations Ledger'!$E:$E,'Operations Ledger'!$A:$A,$A15,'Operations Ledger'!$B:$B,"Clenny",'Operations Ledger'!$F:$F,"Yes"))+((F15-(XLOOKUP($A15,'Shipment Setup'!$A:$A,'Shipment Setup'!$N:$N,0)+SUMIFS('Operations Ledger'!$E:$E,'Operations Ledger'!$A:$A,$A15,'Operations Ledger'!$F:$F,"Yes")))*IF((XLOOKUP($A15,'Shipment Setup'!$A:$A,'Shipment Setup'!$Q:$Q,0)+SUMIFS('Operations Ledger'!$E:$E,'Operations Ledger'!$A:$A,$A15,'Operations Ledger'!$B:$B,"Clenny",'Operations Ledger'!$F:$F,"Yes")+XLOOKUP($A15,'Shipment Setup'!$A:$A,'Shipment Setup'!$R:$R,0)+SUMIFS('Operations Ledger'!$E:$E,'Operations Ledger'!$A:$A,$A15,'Operations Ledger'!$B:$B,"Clanny",'Operations Ledger'!$F:$F,"Yes"))=0,0,(XLOOKUP($A15,'Shipment Setup'!$A:$A,'Shipment Setup'!$Q:$Q,0)+SUMIFS('Operations Ledger'!$E:$E,'Operations Ledger'!$A:$A,$A15,'Operations Ledger'!$B:$B,"Clenny",'Operations Ledger'!$F:$F,"Yes"))/(XLOOKUP($A15,'Shipment Setup'!$A:$A,'Shipment Setup'!$Q:$Q,0)+SUMIFS('Operations Ledger'!$E:$E,'Operations Ledger'!$A:$A,$A15,'Operations Ledger'!$B:$B,"Clenny",'Operations Ledger'!$F:$F,"Yes")+XLOOKUP($A15,'Shipment Setup'!$A:$A,'Shipment Setup'!$R:$R,0)+SUMIFS('Operations Ledger'!$E:$E,'Operations Ledger'!$A:$A,$A15,'Operations Ledger'!$B:$B,"Clanny",'Operations Ledger'!$F:$F,"Yes"))))-SUMIFS('Sales Ledger'!$K:$K,'Sales Ledger'!$A:$A,$A15,'Sales Ledger'!$L:$L,"Clenny"))</f>
        <v/>
      </c>
      <c r="J15" s="30" t="str">
        <f t="array" ref="J15">IF($A15="","",(XLOOKUP($A15,'Shipment Setup'!$A:$A,'Shipment Setup'!$R:$R,0)+SUMIFS('Operations Ledger'!$E:$E,'Operations Ledger'!$A:$A,$A15,'Operations Ledger'!$B:$B,"Clanny",'Operations Ledger'!$F:$F,"Yes"))+((F15-(XLOOKUP($A15,'Shipment Setup'!$A:$A,'Shipment Setup'!$N:$N,0)+SUMIFS('Operations Ledger'!$E:$E,'Operations Ledger'!$A:$A,$A15,'Operations Ledger'!$F:$F,"Yes")))*IF((XLOOKUP($A15,'Shipment Setup'!$A:$A,'Shipment Setup'!$Q:$Q,0)+SUMIFS('Operations Ledger'!$E:$E,'Operations Ledger'!$A:$A,$A15,'Operations Ledger'!$B:$B,"Clenny",'Operations Ledger'!$F:$F,"Yes")+XLOOKUP($A15,'Shipment Setup'!$A:$A,'Shipment Setup'!$R:$R,0)+SUMIFS('Operations Ledger'!$E:$E,'Operations Ledger'!$A:$A,$A15,'Operations Ledger'!$B:$B,"Clanny",'Operations Ledger'!$F:$F,"Yes"))=0,0,(XLOOKUP($A15,'Shipment Setup'!$A:$A,'Shipment Setup'!$R:$R,0)+SUMIFS('Operations Ledger'!$E:$E,'Operations Ledger'!$A:$A,$A15,'Operations Ledger'!$B:$B,"Clanny",'Operations Ledger'!$F:$F,"Yes"))/(XLOOKUP($A15,'Shipment Setup'!$A:$A,'Shipment Setup'!$Q:$Q,0)+SUMIFS('Operations Ledger'!$E:$E,'Operations Ledger'!$A:$A,$A15,'Operations Ledger'!$B:$B,"Clenny",'Operations Ledger'!$F:$F,"Yes")+XLOOKUP($A15,'Shipment Setup'!$A:$A,'Shipment Setup'!$R:$R,0)+SUMIFS('Operations Ledger'!$E:$E,'Operations Ledger'!$A:$A,$A15,'Operations Ledger'!$B:$B,"Clanny",'Operations Ledger'!$F:$F,"Yes"))))-SUMIFS('Sales Ledger'!$K:$K,'Sales Ledger'!$A:$A,$A15,'Sales Ledger'!$L:$L,"Clanny"))</f>
        <v/>
      </c>
      <c r="K15" s="30" t="str">
        <f t="array" ref="K15">IF($A15="","",XLOOKUP($A15,'Shipment Setup'!$A:$A,'Shipment Setup'!$S:$S,""))</f>
        <v/>
      </c>
    </row>
    <row r="16" ht="14.25" customHeight="1">
      <c r="A16" s="30" t="str">
        <f>IF('Shipment Setup'!A16="","",'Shipment Setup'!A16)</f>
        <v/>
      </c>
      <c r="B16" s="30" t="str">
        <f t="array" ref="B16">IF($A16="","",XLOOKUP($A16,'Shipment Setup'!$A:$A,'Shipment Setup'!$B:$B,""))</f>
        <v/>
      </c>
      <c r="C16" s="30" t="str">
        <f t="array" ref="C16">IF($A16="","",XLOOKUP($A16,'Shipment Setup'!$A:$A,'Shipment Setup'!$C:$C,""))</f>
        <v/>
      </c>
      <c r="D16" s="30" t="str">
        <f t="array" ref="D16">IF($A16="","",XLOOKUP($A16,'Shipment Setup'!$A:$A,'Shipment Setup'!$N:$N,0))</f>
        <v/>
      </c>
      <c r="E16" s="30" t="str">
        <f t="array" ref="E16">IF($A16="","",XLOOKUP($A16,'Shipment Setup'!$A:$A,'Shipment Setup'!$P:$P,0))</f>
        <v/>
      </c>
      <c r="F16" s="30" t="str">
        <f>IF($A16="","",SUMIFS('Sales Ledger'!$K:$K,'Sales Ledger'!$A:$A,$A16))</f>
        <v/>
      </c>
      <c r="G16" s="30" t="str">
        <f>IF($A16="","",SUMIFS('Sales Ledger'!$I:$I,'Sales Ledger'!$A:$A,$A16))</f>
        <v/>
      </c>
      <c r="H16" s="30" t="str">
        <f t="array" ref="H16">IF($A16="","",MAX(0,XLOOKUP($A16,'Shipment Setup'!$A:$A,'Shipment Setup'!$L:$L,0)-G16))</f>
        <v/>
      </c>
      <c r="I16" s="30" t="str">
        <f t="array" ref="I16">IF($A16="","",(XLOOKUP($A16,'Shipment Setup'!$A:$A,'Shipment Setup'!$Q:$Q,0)+SUMIFS('Operations Ledger'!$E:$E,'Operations Ledger'!$A:$A,$A16,'Operations Ledger'!$B:$B,"Clenny",'Operations Ledger'!$F:$F,"Yes"))+((F16-(XLOOKUP($A16,'Shipment Setup'!$A:$A,'Shipment Setup'!$N:$N,0)+SUMIFS('Operations Ledger'!$E:$E,'Operations Ledger'!$A:$A,$A16,'Operations Ledger'!$F:$F,"Yes")))*IF((XLOOKUP($A16,'Shipment Setup'!$A:$A,'Shipment Setup'!$Q:$Q,0)+SUMIFS('Operations Ledger'!$E:$E,'Operations Ledger'!$A:$A,$A16,'Operations Ledger'!$B:$B,"Clenny",'Operations Ledger'!$F:$F,"Yes")+XLOOKUP($A16,'Shipment Setup'!$A:$A,'Shipment Setup'!$R:$R,0)+SUMIFS('Operations Ledger'!$E:$E,'Operations Ledger'!$A:$A,$A16,'Operations Ledger'!$B:$B,"Clanny",'Operations Ledger'!$F:$F,"Yes"))=0,0,(XLOOKUP($A16,'Shipment Setup'!$A:$A,'Shipment Setup'!$Q:$Q,0)+SUMIFS('Operations Ledger'!$E:$E,'Operations Ledger'!$A:$A,$A16,'Operations Ledger'!$B:$B,"Clenny",'Operations Ledger'!$F:$F,"Yes"))/(XLOOKUP($A16,'Shipment Setup'!$A:$A,'Shipment Setup'!$Q:$Q,0)+SUMIFS('Operations Ledger'!$E:$E,'Operations Ledger'!$A:$A,$A16,'Operations Ledger'!$B:$B,"Clenny",'Operations Ledger'!$F:$F,"Yes")+XLOOKUP($A16,'Shipment Setup'!$A:$A,'Shipment Setup'!$R:$R,0)+SUMIFS('Operations Ledger'!$E:$E,'Operations Ledger'!$A:$A,$A16,'Operations Ledger'!$B:$B,"Clanny",'Operations Ledger'!$F:$F,"Yes"))))-SUMIFS('Sales Ledger'!$K:$K,'Sales Ledger'!$A:$A,$A16,'Sales Ledger'!$L:$L,"Clenny"))</f>
        <v/>
      </c>
      <c r="J16" s="30" t="str">
        <f t="array" ref="J16">IF($A16="","",(XLOOKUP($A16,'Shipment Setup'!$A:$A,'Shipment Setup'!$R:$R,0)+SUMIFS('Operations Ledger'!$E:$E,'Operations Ledger'!$A:$A,$A16,'Operations Ledger'!$B:$B,"Clanny",'Operations Ledger'!$F:$F,"Yes"))+((F16-(XLOOKUP($A16,'Shipment Setup'!$A:$A,'Shipment Setup'!$N:$N,0)+SUMIFS('Operations Ledger'!$E:$E,'Operations Ledger'!$A:$A,$A16,'Operations Ledger'!$F:$F,"Yes")))*IF((XLOOKUP($A16,'Shipment Setup'!$A:$A,'Shipment Setup'!$Q:$Q,0)+SUMIFS('Operations Ledger'!$E:$E,'Operations Ledger'!$A:$A,$A16,'Operations Ledger'!$B:$B,"Clenny",'Operations Ledger'!$F:$F,"Yes")+XLOOKUP($A16,'Shipment Setup'!$A:$A,'Shipment Setup'!$R:$R,0)+SUMIFS('Operations Ledger'!$E:$E,'Operations Ledger'!$A:$A,$A16,'Operations Ledger'!$B:$B,"Clanny",'Operations Ledger'!$F:$F,"Yes"))=0,0,(XLOOKUP($A16,'Shipment Setup'!$A:$A,'Shipment Setup'!$R:$R,0)+SUMIFS('Operations Ledger'!$E:$E,'Operations Ledger'!$A:$A,$A16,'Operations Ledger'!$B:$B,"Clanny",'Operations Ledger'!$F:$F,"Yes"))/(XLOOKUP($A16,'Shipment Setup'!$A:$A,'Shipment Setup'!$Q:$Q,0)+SUMIFS('Operations Ledger'!$E:$E,'Operations Ledger'!$A:$A,$A16,'Operations Ledger'!$B:$B,"Clenny",'Operations Ledger'!$F:$F,"Yes")+XLOOKUP($A16,'Shipment Setup'!$A:$A,'Shipment Setup'!$R:$R,0)+SUMIFS('Operations Ledger'!$E:$E,'Operations Ledger'!$A:$A,$A16,'Operations Ledger'!$B:$B,"Clanny",'Operations Ledger'!$F:$F,"Yes"))))-SUMIFS('Sales Ledger'!$K:$K,'Sales Ledger'!$A:$A,$A16,'Sales Ledger'!$L:$L,"Clanny"))</f>
        <v/>
      </c>
      <c r="K16" s="30" t="str">
        <f t="array" ref="K16">IF($A16="","",XLOOKUP($A16,'Shipment Setup'!$A:$A,'Shipment Setup'!$S:$S,""))</f>
        <v/>
      </c>
    </row>
    <row r="17" ht="14.25" customHeight="1">
      <c r="A17" s="30" t="str">
        <f>IF('Shipment Setup'!A17="","",'Shipment Setup'!A17)</f>
        <v/>
      </c>
      <c r="B17" s="30" t="str">
        <f t="array" ref="B17">IF($A17="","",XLOOKUP($A17,'Shipment Setup'!$A:$A,'Shipment Setup'!$B:$B,""))</f>
        <v/>
      </c>
      <c r="C17" s="30" t="str">
        <f t="array" ref="C17">IF($A17="","",XLOOKUP($A17,'Shipment Setup'!$A:$A,'Shipment Setup'!$C:$C,""))</f>
        <v/>
      </c>
      <c r="D17" s="30" t="str">
        <f t="array" ref="D17">IF($A17="","",XLOOKUP($A17,'Shipment Setup'!$A:$A,'Shipment Setup'!$N:$N,0))</f>
        <v/>
      </c>
      <c r="E17" s="30" t="str">
        <f t="array" ref="E17">IF($A17="","",XLOOKUP($A17,'Shipment Setup'!$A:$A,'Shipment Setup'!$P:$P,0))</f>
        <v/>
      </c>
      <c r="F17" s="30" t="str">
        <f>IF($A17="","",SUMIFS('Sales Ledger'!$K:$K,'Sales Ledger'!$A:$A,$A17))</f>
        <v/>
      </c>
      <c r="G17" s="30" t="str">
        <f>IF($A17="","",SUMIFS('Sales Ledger'!$I:$I,'Sales Ledger'!$A:$A,$A17))</f>
        <v/>
      </c>
      <c r="H17" s="30" t="str">
        <f t="array" ref="H17">IF($A17="","",MAX(0,XLOOKUP($A17,'Shipment Setup'!$A:$A,'Shipment Setup'!$L:$L,0)-G17))</f>
        <v/>
      </c>
      <c r="I17" s="30" t="str">
        <f t="array" ref="I17">IF($A17="","",(XLOOKUP($A17,'Shipment Setup'!$A:$A,'Shipment Setup'!$Q:$Q,0)+SUMIFS('Operations Ledger'!$E:$E,'Operations Ledger'!$A:$A,$A17,'Operations Ledger'!$B:$B,"Clenny",'Operations Ledger'!$F:$F,"Yes"))+((F17-(XLOOKUP($A17,'Shipment Setup'!$A:$A,'Shipment Setup'!$N:$N,0)+SUMIFS('Operations Ledger'!$E:$E,'Operations Ledger'!$A:$A,$A17,'Operations Ledger'!$F:$F,"Yes")))*IF((XLOOKUP($A17,'Shipment Setup'!$A:$A,'Shipment Setup'!$Q:$Q,0)+SUMIFS('Operations Ledger'!$E:$E,'Operations Ledger'!$A:$A,$A17,'Operations Ledger'!$B:$B,"Clenny",'Operations Ledger'!$F:$F,"Yes")+XLOOKUP($A17,'Shipment Setup'!$A:$A,'Shipment Setup'!$R:$R,0)+SUMIFS('Operations Ledger'!$E:$E,'Operations Ledger'!$A:$A,$A17,'Operations Ledger'!$B:$B,"Clanny",'Operations Ledger'!$F:$F,"Yes"))=0,0,(XLOOKUP($A17,'Shipment Setup'!$A:$A,'Shipment Setup'!$Q:$Q,0)+SUMIFS('Operations Ledger'!$E:$E,'Operations Ledger'!$A:$A,$A17,'Operations Ledger'!$B:$B,"Clenny",'Operations Ledger'!$F:$F,"Yes"))/(XLOOKUP($A17,'Shipment Setup'!$A:$A,'Shipment Setup'!$Q:$Q,0)+SUMIFS('Operations Ledger'!$E:$E,'Operations Ledger'!$A:$A,$A17,'Operations Ledger'!$B:$B,"Clenny",'Operations Ledger'!$F:$F,"Yes")+XLOOKUP($A17,'Shipment Setup'!$A:$A,'Shipment Setup'!$R:$R,0)+SUMIFS('Operations Ledger'!$E:$E,'Operations Ledger'!$A:$A,$A17,'Operations Ledger'!$B:$B,"Clanny",'Operations Ledger'!$F:$F,"Yes"))))-SUMIFS('Sales Ledger'!$K:$K,'Sales Ledger'!$A:$A,$A17,'Sales Ledger'!$L:$L,"Clenny"))</f>
        <v/>
      </c>
      <c r="J17" s="30" t="str">
        <f t="array" ref="J17">IF($A17="","",(XLOOKUP($A17,'Shipment Setup'!$A:$A,'Shipment Setup'!$R:$R,0)+SUMIFS('Operations Ledger'!$E:$E,'Operations Ledger'!$A:$A,$A17,'Operations Ledger'!$B:$B,"Clanny",'Operations Ledger'!$F:$F,"Yes"))+((F17-(XLOOKUP($A17,'Shipment Setup'!$A:$A,'Shipment Setup'!$N:$N,0)+SUMIFS('Operations Ledger'!$E:$E,'Operations Ledger'!$A:$A,$A17,'Operations Ledger'!$F:$F,"Yes")))*IF((XLOOKUP($A17,'Shipment Setup'!$A:$A,'Shipment Setup'!$Q:$Q,0)+SUMIFS('Operations Ledger'!$E:$E,'Operations Ledger'!$A:$A,$A17,'Operations Ledger'!$B:$B,"Clenny",'Operations Ledger'!$F:$F,"Yes")+XLOOKUP($A17,'Shipment Setup'!$A:$A,'Shipment Setup'!$R:$R,0)+SUMIFS('Operations Ledger'!$E:$E,'Operations Ledger'!$A:$A,$A17,'Operations Ledger'!$B:$B,"Clanny",'Operations Ledger'!$F:$F,"Yes"))=0,0,(XLOOKUP($A17,'Shipment Setup'!$A:$A,'Shipment Setup'!$R:$R,0)+SUMIFS('Operations Ledger'!$E:$E,'Operations Ledger'!$A:$A,$A17,'Operations Ledger'!$B:$B,"Clanny",'Operations Ledger'!$F:$F,"Yes"))/(XLOOKUP($A17,'Shipment Setup'!$A:$A,'Shipment Setup'!$Q:$Q,0)+SUMIFS('Operations Ledger'!$E:$E,'Operations Ledger'!$A:$A,$A17,'Operations Ledger'!$B:$B,"Clenny",'Operations Ledger'!$F:$F,"Yes")+XLOOKUP($A17,'Shipment Setup'!$A:$A,'Shipment Setup'!$R:$R,0)+SUMIFS('Operations Ledger'!$E:$E,'Operations Ledger'!$A:$A,$A17,'Operations Ledger'!$B:$B,"Clanny",'Operations Ledger'!$F:$F,"Yes"))))-SUMIFS('Sales Ledger'!$K:$K,'Sales Ledger'!$A:$A,$A17,'Sales Ledger'!$L:$L,"Clanny"))</f>
        <v/>
      </c>
      <c r="K17" s="30" t="str">
        <f t="array" ref="K17">IF($A17="","",XLOOKUP($A17,'Shipment Setup'!$A:$A,'Shipment Setup'!$S:$S,""))</f>
        <v/>
      </c>
    </row>
    <row r="18" ht="14.25" customHeight="1">
      <c r="A18" s="30" t="str">
        <f>IF('Shipment Setup'!A18="","",'Shipment Setup'!A18)</f>
        <v/>
      </c>
      <c r="B18" s="30" t="str">
        <f t="array" ref="B18">IF($A18="","",XLOOKUP($A18,'Shipment Setup'!$A:$A,'Shipment Setup'!$B:$B,""))</f>
        <v/>
      </c>
      <c r="C18" s="30" t="str">
        <f t="array" ref="C18">IF($A18="","",XLOOKUP($A18,'Shipment Setup'!$A:$A,'Shipment Setup'!$C:$C,""))</f>
        <v/>
      </c>
      <c r="D18" s="30" t="str">
        <f t="array" ref="D18">IF($A18="","",XLOOKUP($A18,'Shipment Setup'!$A:$A,'Shipment Setup'!$N:$N,0))</f>
        <v/>
      </c>
      <c r="E18" s="30" t="str">
        <f t="array" ref="E18">IF($A18="","",XLOOKUP($A18,'Shipment Setup'!$A:$A,'Shipment Setup'!$P:$P,0))</f>
        <v/>
      </c>
      <c r="F18" s="30" t="str">
        <f>IF($A18="","",SUMIFS('Sales Ledger'!$K:$K,'Sales Ledger'!$A:$A,$A18))</f>
        <v/>
      </c>
      <c r="G18" s="30" t="str">
        <f>IF($A18="","",SUMIFS('Sales Ledger'!$I:$I,'Sales Ledger'!$A:$A,$A18))</f>
        <v/>
      </c>
      <c r="H18" s="30" t="str">
        <f t="array" ref="H18">IF($A18="","",MAX(0,XLOOKUP($A18,'Shipment Setup'!$A:$A,'Shipment Setup'!$L:$L,0)-G18))</f>
        <v/>
      </c>
      <c r="I18" s="30" t="str">
        <f t="array" ref="I18">IF($A18="","",(XLOOKUP($A18,'Shipment Setup'!$A:$A,'Shipment Setup'!$Q:$Q,0)+SUMIFS('Operations Ledger'!$E:$E,'Operations Ledger'!$A:$A,$A18,'Operations Ledger'!$B:$B,"Clenny",'Operations Ledger'!$F:$F,"Yes"))+((F18-(XLOOKUP($A18,'Shipment Setup'!$A:$A,'Shipment Setup'!$N:$N,0)+SUMIFS('Operations Ledger'!$E:$E,'Operations Ledger'!$A:$A,$A18,'Operations Ledger'!$F:$F,"Yes")))*IF((XLOOKUP($A18,'Shipment Setup'!$A:$A,'Shipment Setup'!$Q:$Q,0)+SUMIFS('Operations Ledger'!$E:$E,'Operations Ledger'!$A:$A,$A18,'Operations Ledger'!$B:$B,"Clenny",'Operations Ledger'!$F:$F,"Yes")+XLOOKUP($A18,'Shipment Setup'!$A:$A,'Shipment Setup'!$R:$R,0)+SUMIFS('Operations Ledger'!$E:$E,'Operations Ledger'!$A:$A,$A18,'Operations Ledger'!$B:$B,"Clanny",'Operations Ledger'!$F:$F,"Yes"))=0,0,(XLOOKUP($A18,'Shipment Setup'!$A:$A,'Shipment Setup'!$Q:$Q,0)+SUMIFS('Operations Ledger'!$E:$E,'Operations Ledger'!$A:$A,$A18,'Operations Ledger'!$B:$B,"Clenny",'Operations Ledger'!$F:$F,"Yes"))/(XLOOKUP($A18,'Shipment Setup'!$A:$A,'Shipment Setup'!$Q:$Q,0)+SUMIFS('Operations Ledger'!$E:$E,'Operations Ledger'!$A:$A,$A18,'Operations Ledger'!$B:$B,"Clenny",'Operations Ledger'!$F:$F,"Yes")+XLOOKUP($A18,'Shipment Setup'!$A:$A,'Shipment Setup'!$R:$R,0)+SUMIFS('Operations Ledger'!$E:$E,'Operations Ledger'!$A:$A,$A18,'Operations Ledger'!$B:$B,"Clanny",'Operations Ledger'!$F:$F,"Yes"))))-SUMIFS('Sales Ledger'!$K:$K,'Sales Ledger'!$A:$A,$A18,'Sales Ledger'!$L:$L,"Clenny"))</f>
        <v/>
      </c>
      <c r="J18" s="30" t="str">
        <f t="array" ref="J18">IF($A18="","",(XLOOKUP($A18,'Shipment Setup'!$A:$A,'Shipment Setup'!$R:$R,0)+SUMIFS('Operations Ledger'!$E:$E,'Operations Ledger'!$A:$A,$A18,'Operations Ledger'!$B:$B,"Clanny",'Operations Ledger'!$F:$F,"Yes"))+((F18-(XLOOKUP($A18,'Shipment Setup'!$A:$A,'Shipment Setup'!$N:$N,0)+SUMIFS('Operations Ledger'!$E:$E,'Operations Ledger'!$A:$A,$A18,'Operations Ledger'!$F:$F,"Yes")))*IF((XLOOKUP($A18,'Shipment Setup'!$A:$A,'Shipment Setup'!$Q:$Q,0)+SUMIFS('Operations Ledger'!$E:$E,'Operations Ledger'!$A:$A,$A18,'Operations Ledger'!$B:$B,"Clenny",'Operations Ledger'!$F:$F,"Yes")+XLOOKUP($A18,'Shipment Setup'!$A:$A,'Shipment Setup'!$R:$R,0)+SUMIFS('Operations Ledger'!$E:$E,'Operations Ledger'!$A:$A,$A18,'Operations Ledger'!$B:$B,"Clanny",'Operations Ledger'!$F:$F,"Yes"))=0,0,(XLOOKUP($A18,'Shipment Setup'!$A:$A,'Shipment Setup'!$R:$R,0)+SUMIFS('Operations Ledger'!$E:$E,'Operations Ledger'!$A:$A,$A18,'Operations Ledger'!$B:$B,"Clanny",'Operations Ledger'!$F:$F,"Yes"))/(XLOOKUP($A18,'Shipment Setup'!$A:$A,'Shipment Setup'!$Q:$Q,0)+SUMIFS('Operations Ledger'!$E:$E,'Operations Ledger'!$A:$A,$A18,'Operations Ledger'!$B:$B,"Clenny",'Operations Ledger'!$F:$F,"Yes")+XLOOKUP($A18,'Shipment Setup'!$A:$A,'Shipment Setup'!$R:$R,0)+SUMIFS('Operations Ledger'!$E:$E,'Operations Ledger'!$A:$A,$A18,'Operations Ledger'!$B:$B,"Clanny",'Operations Ledger'!$F:$F,"Yes"))))-SUMIFS('Sales Ledger'!$K:$K,'Sales Ledger'!$A:$A,$A18,'Sales Ledger'!$L:$L,"Clanny"))</f>
        <v/>
      </c>
      <c r="K18" s="30" t="str">
        <f t="array" ref="K18">IF($A18="","",XLOOKUP($A18,'Shipment Setup'!$A:$A,'Shipment Setup'!$S:$S,""))</f>
        <v/>
      </c>
    </row>
    <row r="19" ht="14.25" customHeight="1">
      <c r="A19" s="30" t="str">
        <f>IF('Shipment Setup'!A19="","",'Shipment Setup'!A19)</f>
        <v/>
      </c>
      <c r="B19" s="30" t="str">
        <f t="array" ref="B19">IF($A19="","",XLOOKUP($A19,'Shipment Setup'!$A:$A,'Shipment Setup'!$B:$B,""))</f>
        <v/>
      </c>
      <c r="C19" s="30" t="str">
        <f t="array" ref="C19">IF($A19="","",XLOOKUP($A19,'Shipment Setup'!$A:$A,'Shipment Setup'!$C:$C,""))</f>
        <v/>
      </c>
      <c r="D19" s="30" t="str">
        <f t="array" ref="D19">IF($A19="","",XLOOKUP($A19,'Shipment Setup'!$A:$A,'Shipment Setup'!$N:$N,0))</f>
        <v/>
      </c>
      <c r="E19" s="30" t="str">
        <f t="array" ref="E19">IF($A19="","",XLOOKUP($A19,'Shipment Setup'!$A:$A,'Shipment Setup'!$P:$P,0))</f>
        <v/>
      </c>
      <c r="F19" s="30" t="str">
        <f>IF($A19="","",SUMIFS('Sales Ledger'!$K:$K,'Sales Ledger'!$A:$A,$A19))</f>
        <v/>
      </c>
      <c r="G19" s="30" t="str">
        <f>IF($A19="","",SUMIFS('Sales Ledger'!$I:$I,'Sales Ledger'!$A:$A,$A19))</f>
        <v/>
      </c>
      <c r="H19" s="30" t="str">
        <f t="array" ref="H19">IF($A19="","",MAX(0,XLOOKUP($A19,'Shipment Setup'!$A:$A,'Shipment Setup'!$L:$L,0)-G19))</f>
        <v/>
      </c>
      <c r="I19" s="30" t="str">
        <f t="array" ref="I19">IF($A19="","",(XLOOKUP($A19,'Shipment Setup'!$A:$A,'Shipment Setup'!$Q:$Q,0)+SUMIFS('Operations Ledger'!$E:$E,'Operations Ledger'!$A:$A,$A19,'Operations Ledger'!$B:$B,"Clenny",'Operations Ledger'!$F:$F,"Yes"))+((F19-(XLOOKUP($A19,'Shipment Setup'!$A:$A,'Shipment Setup'!$N:$N,0)+SUMIFS('Operations Ledger'!$E:$E,'Operations Ledger'!$A:$A,$A19,'Operations Ledger'!$F:$F,"Yes")))*IF((XLOOKUP($A19,'Shipment Setup'!$A:$A,'Shipment Setup'!$Q:$Q,0)+SUMIFS('Operations Ledger'!$E:$E,'Operations Ledger'!$A:$A,$A19,'Operations Ledger'!$B:$B,"Clenny",'Operations Ledger'!$F:$F,"Yes")+XLOOKUP($A19,'Shipment Setup'!$A:$A,'Shipment Setup'!$R:$R,0)+SUMIFS('Operations Ledger'!$E:$E,'Operations Ledger'!$A:$A,$A19,'Operations Ledger'!$B:$B,"Clanny",'Operations Ledger'!$F:$F,"Yes"))=0,0,(XLOOKUP($A19,'Shipment Setup'!$A:$A,'Shipment Setup'!$Q:$Q,0)+SUMIFS('Operations Ledger'!$E:$E,'Operations Ledger'!$A:$A,$A19,'Operations Ledger'!$B:$B,"Clenny",'Operations Ledger'!$F:$F,"Yes"))/(XLOOKUP($A19,'Shipment Setup'!$A:$A,'Shipment Setup'!$Q:$Q,0)+SUMIFS('Operations Ledger'!$E:$E,'Operations Ledger'!$A:$A,$A19,'Operations Ledger'!$B:$B,"Clenny",'Operations Ledger'!$F:$F,"Yes")+XLOOKUP($A19,'Shipment Setup'!$A:$A,'Shipment Setup'!$R:$R,0)+SUMIFS('Operations Ledger'!$E:$E,'Operations Ledger'!$A:$A,$A19,'Operations Ledger'!$B:$B,"Clanny",'Operations Ledger'!$F:$F,"Yes"))))-SUMIFS('Sales Ledger'!$K:$K,'Sales Ledger'!$A:$A,$A19,'Sales Ledger'!$L:$L,"Clenny"))</f>
        <v/>
      </c>
      <c r="J19" s="30" t="str">
        <f t="array" ref="J19">IF($A19="","",(XLOOKUP($A19,'Shipment Setup'!$A:$A,'Shipment Setup'!$R:$R,0)+SUMIFS('Operations Ledger'!$E:$E,'Operations Ledger'!$A:$A,$A19,'Operations Ledger'!$B:$B,"Clanny",'Operations Ledger'!$F:$F,"Yes"))+((F19-(XLOOKUP($A19,'Shipment Setup'!$A:$A,'Shipment Setup'!$N:$N,0)+SUMIFS('Operations Ledger'!$E:$E,'Operations Ledger'!$A:$A,$A19,'Operations Ledger'!$F:$F,"Yes")))*IF((XLOOKUP($A19,'Shipment Setup'!$A:$A,'Shipment Setup'!$Q:$Q,0)+SUMIFS('Operations Ledger'!$E:$E,'Operations Ledger'!$A:$A,$A19,'Operations Ledger'!$B:$B,"Clenny",'Operations Ledger'!$F:$F,"Yes")+XLOOKUP($A19,'Shipment Setup'!$A:$A,'Shipment Setup'!$R:$R,0)+SUMIFS('Operations Ledger'!$E:$E,'Operations Ledger'!$A:$A,$A19,'Operations Ledger'!$B:$B,"Clanny",'Operations Ledger'!$F:$F,"Yes"))=0,0,(XLOOKUP($A19,'Shipment Setup'!$A:$A,'Shipment Setup'!$R:$R,0)+SUMIFS('Operations Ledger'!$E:$E,'Operations Ledger'!$A:$A,$A19,'Operations Ledger'!$B:$B,"Clanny",'Operations Ledger'!$F:$F,"Yes"))/(XLOOKUP($A19,'Shipment Setup'!$A:$A,'Shipment Setup'!$Q:$Q,0)+SUMIFS('Operations Ledger'!$E:$E,'Operations Ledger'!$A:$A,$A19,'Operations Ledger'!$B:$B,"Clenny",'Operations Ledger'!$F:$F,"Yes")+XLOOKUP($A19,'Shipment Setup'!$A:$A,'Shipment Setup'!$R:$R,0)+SUMIFS('Operations Ledger'!$E:$E,'Operations Ledger'!$A:$A,$A19,'Operations Ledger'!$B:$B,"Clanny",'Operations Ledger'!$F:$F,"Yes"))))-SUMIFS('Sales Ledger'!$K:$K,'Sales Ledger'!$A:$A,$A19,'Sales Ledger'!$L:$L,"Clanny"))</f>
        <v/>
      </c>
      <c r="K19" s="30" t="str">
        <f t="array" ref="K19">IF($A19="","",XLOOKUP($A19,'Shipment Setup'!$A:$A,'Shipment Setup'!$S:$S,""))</f>
        <v/>
      </c>
    </row>
    <row r="20" ht="14.25" customHeight="1">
      <c r="A20" s="30" t="str">
        <f>IF('Shipment Setup'!A20="","",'Shipment Setup'!A20)</f>
        <v/>
      </c>
      <c r="B20" s="30" t="str">
        <f t="array" ref="B20">IF($A20="","",XLOOKUP($A20,'Shipment Setup'!$A:$A,'Shipment Setup'!$B:$B,""))</f>
        <v/>
      </c>
      <c r="C20" s="30" t="str">
        <f t="array" ref="C20">IF($A20="","",XLOOKUP($A20,'Shipment Setup'!$A:$A,'Shipment Setup'!$C:$C,""))</f>
        <v/>
      </c>
      <c r="D20" s="30" t="str">
        <f t="array" ref="D20">IF($A20="","",XLOOKUP($A20,'Shipment Setup'!$A:$A,'Shipment Setup'!$N:$N,0))</f>
        <v/>
      </c>
      <c r="E20" s="30" t="str">
        <f t="array" ref="E20">IF($A20="","",XLOOKUP($A20,'Shipment Setup'!$A:$A,'Shipment Setup'!$P:$P,0))</f>
        <v/>
      </c>
      <c r="F20" s="30" t="str">
        <f>IF($A20="","",SUMIFS('Sales Ledger'!$K:$K,'Sales Ledger'!$A:$A,$A20))</f>
        <v/>
      </c>
      <c r="G20" s="30" t="str">
        <f>IF($A20="","",SUMIFS('Sales Ledger'!$I:$I,'Sales Ledger'!$A:$A,$A20))</f>
        <v/>
      </c>
      <c r="H20" s="30" t="str">
        <f t="array" ref="H20">IF($A20="","",MAX(0,XLOOKUP($A20,'Shipment Setup'!$A:$A,'Shipment Setup'!$L:$L,0)-G20))</f>
        <v/>
      </c>
      <c r="I20" s="30" t="str">
        <f t="array" ref="I20">IF($A20="","",(XLOOKUP($A20,'Shipment Setup'!$A:$A,'Shipment Setup'!$Q:$Q,0)+SUMIFS('Operations Ledger'!$E:$E,'Operations Ledger'!$A:$A,$A20,'Operations Ledger'!$B:$B,"Clenny",'Operations Ledger'!$F:$F,"Yes"))+((F20-(XLOOKUP($A20,'Shipment Setup'!$A:$A,'Shipment Setup'!$N:$N,0)+SUMIFS('Operations Ledger'!$E:$E,'Operations Ledger'!$A:$A,$A20,'Operations Ledger'!$F:$F,"Yes")))*IF((XLOOKUP($A20,'Shipment Setup'!$A:$A,'Shipment Setup'!$Q:$Q,0)+SUMIFS('Operations Ledger'!$E:$E,'Operations Ledger'!$A:$A,$A20,'Operations Ledger'!$B:$B,"Clenny",'Operations Ledger'!$F:$F,"Yes")+XLOOKUP($A20,'Shipment Setup'!$A:$A,'Shipment Setup'!$R:$R,0)+SUMIFS('Operations Ledger'!$E:$E,'Operations Ledger'!$A:$A,$A20,'Operations Ledger'!$B:$B,"Clanny",'Operations Ledger'!$F:$F,"Yes"))=0,0,(XLOOKUP($A20,'Shipment Setup'!$A:$A,'Shipment Setup'!$Q:$Q,0)+SUMIFS('Operations Ledger'!$E:$E,'Operations Ledger'!$A:$A,$A20,'Operations Ledger'!$B:$B,"Clenny",'Operations Ledger'!$F:$F,"Yes"))/(XLOOKUP($A20,'Shipment Setup'!$A:$A,'Shipment Setup'!$Q:$Q,0)+SUMIFS('Operations Ledger'!$E:$E,'Operations Ledger'!$A:$A,$A20,'Operations Ledger'!$B:$B,"Clenny",'Operations Ledger'!$F:$F,"Yes")+XLOOKUP($A20,'Shipment Setup'!$A:$A,'Shipment Setup'!$R:$R,0)+SUMIFS('Operations Ledger'!$E:$E,'Operations Ledger'!$A:$A,$A20,'Operations Ledger'!$B:$B,"Clanny",'Operations Ledger'!$F:$F,"Yes"))))-SUMIFS('Sales Ledger'!$K:$K,'Sales Ledger'!$A:$A,$A20,'Sales Ledger'!$L:$L,"Clenny"))</f>
        <v/>
      </c>
      <c r="J20" s="30" t="str">
        <f t="array" ref="J20">IF($A20="","",(XLOOKUP($A20,'Shipment Setup'!$A:$A,'Shipment Setup'!$R:$R,0)+SUMIFS('Operations Ledger'!$E:$E,'Operations Ledger'!$A:$A,$A20,'Operations Ledger'!$B:$B,"Clanny",'Operations Ledger'!$F:$F,"Yes"))+((F20-(XLOOKUP($A20,'Shipment Setup'!$A:$A,'Shipment Setup'!$N:$N,0)+SUMIFS('Operations Ledger'!$E:$E,'Operations Ledger'!$A:$A,$A20,'Operations Ledger'!$F:$F,"Yes")))*IF((XLOOKUP($A20,'Shipment Setup'!$A:$A,'Shipment Setup'!$Q:$Q,0)+SUMIFS('Operations Ledger'!$E:$E,'Operations Ledger'!$A:$A,$A20,'Operations Ledger'!$B:$B,"Clenny",'Operations Ledger'!$F:$F,"Yes")+XLOOKUP($A20,'Shipment Setup'!$A:$A,'Shipment Setup'!$R:$R,0)+SUMIFS('Operations Ledger'!$E:$E,'Operations Ledger'!$A:$A,$A20,'Operations Ledger'!$B:$B,"Clanny",'Operations Ledger'!$F:$F,"Yes"))=0,0,(XLOOKUP($A20,'Shipment Setup'!$A:$A,'Shipment Setup'!$R:$R,0)+SUMIFS('Operations Ledger'!$E:$E,'Operations Ledger'!$A:$A,$A20,'Operations Ledger'!$B:$B,"Clanny",'Operations Ledger'!$F:$F,"Yes"))/(XLOOKUP($A20,'Shipment Setup'!$A:$A,'Shipment Setup'!$Q:$Q,0)+SUMIFS('Operations Ledger'!$E:$E,'Operations Ledger'!$A:$A,$A20,'Operations Ledger'!$B:$B,"Clenny",'Operations Ledger'!$F:$F,"Yes")+XLOOKUP($A20,'Shipment Setup'!$A:$A,'Shipment Setup'!$R:$R,0)+SUMIFS('Operations Ledger'!$E:$E,'Operations Ledger'!$A:$A,$A20,'Operations Ledger'!$B:$B,"Clanny",'Operations Ledger'!$F:$F,"Yes"))))-SUMIFS('Sales Ledger'!$K:$K,'Sales Ledger'!$A:$A,$A20,'Sales Ledger'!$L:$L,"Clanny"))</f>
        <v/>
      </c>
      <c r="K20" s="30" t="str">
        <f t="array" ref="K20">IF($A20="","",XLOOKUP($A20,'Shipment Setup'!$A:$A,'Shipment Setup'!$S:$S,""))</f>
        <v/>
      </c>
    </row>
    <row r="21" ht="14.25" customHeight="1">
      <c r="A21" s="30" t="str">
        <f>IF('Shipment Setup'!A21="","",'Shipment Setup'!A21)</f>
        <v/>
      </c>
      <c r="B21" s="30" t="str">
        <f t="array" ref="B21">IF($A21="","",XLOOKUP($A21,'Shipment Setup'!$A:$A,'Shipment Setup'!$B:$B,""))</f>
        <v/>
      </c>
      <c r="C21" s="30" t="str">
        <f t="array" ref="C21">IF($A21="","",XLOOKUP($A21,'Shipment Setup'!$A:$A,'Shipment Setup'!$C:$C,""))</f>
        <v/>
      </c>
      <c r="D21" s="30" t="str">
        <f t="array" ref="D21">IF($A21="","",XLOOKUP($A21,'Shipment Setup'!$A:$A,'Shipment Setup'!$N:$N,0))</f>
        <v/>
      </c>
      <c r="E21" s="30" t="str">
        <f t="array" ref="E21">IF($A21="","",XLOOKUP($A21,'Shipment Setup'!$A:$A,'Shipment Setup'!$P:$P,0))</f>
        <v/>
      </c>
      <c r="F21" s="30" t="str">
        <f>IF($A21="","",SUMIFS('Sales Ledger'!$K:$K,'Sales Ledger'!$A:$A,$A21))</f>
        <v/>
      </c>
      <c r="G21" s="30" t="str">
        <f>IF($A21="","",SUMIFS('Sales Ledger'!$I:$I,'Sales Ledger'!$A:$A,$A21))</f>
        <v/>
      </c>
      <c r="H21" s="30" t="str">
        <f t="array" ref="H21">IF($A21="","",MAX(0,XLOOKUP($A21,'Shipment Setup'!$A:$A,'Shipment Setup'!$L:$L,0)-G21))</f>
        <v/>
      </c>
      <c r="I21" s="30" t="str">
        <f t="array" ref="I21">IF($A21="","",(XLOOKUP($A21,'Shipment Setup'!$A:$A,'Shipment Setup'!$Q:$Q,0)+SUMIFS('Operations Ledger'!$E:$E,'Operations Ledger'!$A:$A,$A21,'Operations Ledger'!$B:$B,"Clenny",'Operations Ledger'!$F:$F,"Yes"))+((F21-(XLOOKUP($A21,'Shipment Setup'!$A:$A,'Shipment Setup'!$N:$N,0)+SUMIFS('Operations Ledger'!$E:$E,'Operations Ledger'!$A:$A,$A21,'Operations Ledger'!$F:$F,"Yes")))*IF((XLOOKUP($A21,'Shipment Setup'!$A:$A,'Shipment Setup'!$Q:$Q,0)+SUMIFS('Operations Ledger'!$E:$E,'Operations Ledger'!$A:$A,$A21,'Operations Ledger'!$B:$B,"Clenny",'Operations Ledger'!$F:$F,"Yes")+XLOOKUP($A21,'Shipment Setup'!$A:$A,'Shipment Setup'!$R:$R,0)+SUMIFS('Operations Ledger'!$E:$E,'Operations Ledger'!$A:$A,$A21,'Operations Ledger'!$B:$B,"Clanny",'Operations Ledger'!$F:$F,"Yes"))=0,0,(XLOOKUP($A21,'Shipment Setup'!$A:$A,'Shipment Setup'!$Q:$Q,0)+SUMIFS('Operations Ledger'!$E:$E,'Operations Ledger'!$A:$A,$A21,'Operations Ledger'!$B:$B,"Clenny",'Operations Ledger'!$F:$F,"Yes"))/(XLOOKUP($A21,'Shipment Setup'!$A:$A,'Shipment Setup'!$Q:$Q,0)+SUMIFS('Operations Ledger'!$E:$E,'Operations Ledger'!$A:$A,$A21,'Operations Ledger'!$B:$B,"Clenny",'Operations Ledger'!$F:$F,"Yes")+XLOOKUP($A21,'Shipment Setup'!$A:$A,'Shipment Setup'!$R:$R,0)+SUMIFS('Operations Ledger'!$E:$E,'Operations Ledger'!$A:$A,$A21,'Operations Ledger'!$B:$B,"Clanny",'Operations Ledger'!$F:$F,"Yes"))))-SUMIFS('Sales Ledger'!$K:$K,'Sales Ledger'!$A:$A,$A21,'Sales Ledger'!$L:$L,"Clenny"))</f>
        <v/>
      </c>
      <c r="J21" s="30" t="str">
        <f t="array" ref="J21">IF($A21="","",(XLOOKUP($A21,'Shipment Setup'!$A:$A,'Shipment Setup'!$R:$R,0)+SUMIFS('Operations Ledger'!$E:$E,'Operations Ledger'!$A:$A,$A21,'Operations Ledger'!$B:$B,"Clanny",'Operations Ledger'!$F:$F,"Yes"))+((F21-(XLOOKUP($A21,'Shipment Setup'!$A:$A,'Shipment Setup'!$N:$N,0)+SUMIFS('Operations Ledger'!$E:$E,'Operations Ledger'!$A:$A,$A21,'Operations Ledger'!$F:$F,"Yes")))*IF((XLOOKUP($A21,'Shipment Setup'!$A:$A,'Shipment Setup'!$Q:$Q,0)+SUMIFS('Operations Ledger'!$E:$E,'Operations Ledger'!$A:$A,$A21,'Operations Ledger'!$B:$B,"Clenny",'Operations Ledger'!$F:$F,"Yes")+XLOOKUP($A21,'Shipment Setup'!$A:$A,'Shipment Setup'!$R:$R,0)+SUMIFS('Operations Ledger'!$E:$E,'Operations Ledger'!$A:$A,$A21,'Operations Ledger'!$B:$B,"Clanny",'Operations Ledger'!$F:$F,"Yes"))=0,0,(XLOOKUP($A21,'Shipment Setup'!$A:$A,'Shipment Setup'!$R:$R,0)+SUMIFS('Operations Ledger'!$E:$E,'Operations Ledger'!$A:$A,$A21,'Operations Ledger'!$B:$B,"Clanny",'Operations Ledger'!$F:$F,"Yes"))/(XLOOKUP($A21,'Shipment Setup'!$A:$A,'Shipment Setup'!$Q:$Q,0)+SUMIFS('Operations Ledger'!$E:$E,'Operations Ledger'!$A:$A,$A21,'Operations Ledger'!$B:$B,"Clenny",'Operations Ledger'!$F:$F,"Yes")+XLOOKUP($A21,'Shipment Setup'!$A:$A,'Shipment Setup'!$R:$R,0)+SUMIFS('Operations Ledger'!$E:$E,'Operations Ledger'!$A:$A,$A21,'Operations Ledger'!$B:$B,"Clanny",'Operations Ledger'!$F:$F,"Yes"))))-SUMIFS('Sales Ledger'!$K:$K,'Sales Ledger'!$A:$A,$A21,'Sales Ledger'!$L:$L,"Clanny"))</f>
        <v/>
      </c>
      <c r="K21" s="30" t="str">
        <f t="array" ref="K21">IF($A21="","",XLOOKUP($A21,'Shipment Setup'!$A:$A,'Shipment Setup'!$S:$S,""))</f>
        <v/>
      </c>
    </row>
    <row r="22" ht="14.25" customHeight="1">
      <c r="A22" s="30" t="str">
        <f>IF('Shipment Setup'!A22="","",'Shipment Setup'!A22)</f>
        <v/>
      </c>
      <c r="B22" s="30" t="str">
        <f t="array" ref="B22">IF($A22="","",XLOOKUP($A22,'Shipment Setup'!$A:$A,'Shipment Setup'!$B:$B,""))</f>
        <v/>
      </c>
      <c r="C22" s="30" t="str">
        <f t="array" ref="C22">IF($A22="","",XLOOKUP($A22,'Shipment Setup'!$A:$A,'Shipment Setup'!$C:$C,""))</f>
        <v/>
      </c>
      <c r="D22" s="30" t="str">
        <f t="array" ref="D22">IF($A22="","",XLOOKUP($A22,'Shipment Setup'!$A:$A,'Shipment Setup'!$N:$N,0))</f>
        <v/>
      </c>
      <c r="E22" s="30" t="str">
        <f t="array" ref="E22">IF($A22="","",XLOOKUP($A22,'Shipment Setup'!$A:$A,'Shipment Setup'!$P:$P,0))</f>
        <v/>
      </c>
      <c r="F22" s="30" t="str">
        <f>IF($A22="","",SUMIFS('Sales Ledger'!$K:$K,'Sales Ledger'!$A:$A,$A22))</f>
        <v/>
      </c>
      <c r="G22" s="30" t="str">
        <f>IF($A22="","",SUMIFS('Sales Ledger'!$I:$I,'Sales Ledger'!$A:$A,$A22))</f>
        <v/>
      </c>
      <c r="H22" s="30" t="str">
        <f t="array" ref="H22">IF($A22="","",MAX(0,XLOOKUP($A22,'Shipment Setup'!$A:$A,'Shipment Setup'!$L:$L,0)-G22))</f>
        <v/>
      </c>
      <c r="I22" s="30" t="str">
        <f t="array" ref="I22">IF($A22="","",(XLOOKUP($A22,'Shipment Setup'!$A:$A,'Shipment Setup'!$Q:$Q,0)+SUMIFS('Operations Ledger'!$E:$E,'Operations Ledger'!$A:$A,$A22,'Operations Ledger'!$B:$B,"Clenny",'Operations Ledger'!$F:$F,"Yes"))+((F22-(XLOOKUP($A22,'Shipment Setup'!$A:$A,'Shipment Setup'!$N:$N,0)+SUMIFS('Operations Ledger'!$E:$E,'Operations Ledger'!$A:$A,$A22,'Operations Ledger'!$F:$F,"Yes")))*IF((XLOOKUP($A22,'Shipment Setup'!$A:$A,'Shipment Setup'!$Q:$Q,0)+SUMIFS('Operations Ledger'!$E:$E,'Operations Ledger'!$A:$A,$A22,'Operations Ledger'!$B:$B,"Clenny",'Operations Ledger'!$F:$F,"Yes")+XLOOKUP($A22,'Shipment Setup'!$A:$A,'Shipment Setup'!$R:$R,0)+SUMIFS('Operations Ledger'!$E:$E,'Operations Ledger'!$A:$A,$A22,'Operations Ledger'!$B:$B,"Clanny",'Operations Ledger'!$F:$F,"Yes"))=0,0,(XLOOKUP($A22,'Shipment Setup'!$A:$A,'Shipment Setup'!$Q:$Q,0)+SUMIFS('Operations Ledger'!$E:$E,'Operations Ledger'!$A:$A,$A22,'Operations Ledger'!$B:$B,"Clenny",'Operations Ledger'!$F:$F,"Yes"))/(XLOOKUP($A22,'Shipment Setup'!$A:$A,'Shipment Setup'!$Q:$Q,0)+SUMIFS('Operations Ledger'!$E:$E,'Operations Ledger'!$A:$A,$A22,'Operations Ledger'!$B:$B,"Clenny",'Operations Ledger'!$F:$F,"Yes")+XLOOKUP($A22,'Shipment Setup'!$A:$A,'Shipment Setup'!$R:$R,0)+SUMIFS('Operations Ledger'!$E:$E,'Operations Ledger'!$A:$A,$A22,'Operations Ledger'!$B:$B,"Clanny",'Operations Ledger'!$F:$F,"Yes"))))-SUMIFS('Sales Ledger'!$K:$K,'Sales Ledger'!$A:$A,$A22,'Sales Ledger'!$L:$L,"Clenny"))</f>
        <v/>
      </c>
      <c r="J22" s="30" t="str">
        <f t="array" ref="J22">IF($A22="","",(XLOOKUP($A22,'Shipment Setup'!$A:$A,'Shipment Setup'!$R:$R,0)+SUMIFS('Operations Ledger'!$E:$E,'Operations Ledger'!$A:$A,$A22,'Operations Ledger'!$B:$B,"Clanny",'Operations Ledger'!$F:$F,"Yes"))+((F22-(XLOOKUP($A22,'Shipment Setup'!$A:$A,'Shipment Setup'!$N:$N,0)+SUMIFS('Operations Ledger'!$E:$E,'Operations Ledger'!$A:$A,$A22,'Operations Ledger'!$F:$F,"Yes")))*IF((XLOOKUP($A22,'Shipment Setup'!$A:$A,'Shipment Setup'!$Q:$Q,0)+SUMIFS('Operations Ledger'!$E:$E,'Operations Ledger'!$A:$A,$A22,'Operations Ledger'!$B:$B,"Clenny",'Operations Ledger'!$F:$F,"Yes")+XLOOKUP($A22,'Shipment Setup'!$A:$A,'Shipment Setup'!$R:$R,0)+SUMIFS('Operations Ledger'!$E:$E,'Operations Ledger'!$A:$A,$A22,'Operations Ledger'!$B:$B,"Clanny",'Operations Ledger'!$F:$F,"Yes"))=0,0,(XLOOKUP($A22,'Shipment Setup'!$A:$A,'Shipment Setup'!$R:$R,0)+SUMIFS('Operations Ledger'!$E:$E,'Operations Ledger'!$A:$A,$A22,'Operations Ledger'!$B:$B,"Clanny",'Operations Ledger'!$F:$F,"Yes"))/(XLOOKUP($A22,'Shipment Setup'!$A:$A,'Shipment Setup'!$Q:$Q,0)+SUMIFS('Operations Ledger'!$E:$E,'Operations Ledger'!$A:$A,$A22,'Operations Ledger'!$B:$B,"Clenny",'Operations Ledger'!$F:$F,"Yes")+XLOOKUP($A22,'Shipment Setup'!$A:$A,'Shipment Setup'!$R:$R,0)+SUMIFS('Operations Ledger'!$E:$E,'Operations Ledger'!$A:$A,$A22,'Operations Ledger'!$B:$B,"Clanny",'Operations Ledger'!$F:$F,"Yes"))))-SUMIFS('Sales Ledger'!$K:$K,'Sales Ledger'!$A:$A,$A22,'Sales Ledger'!$L:$L,"Clanny"))</f>
        <v/>
      </c>
      <c r="K22" s="30" t="str">
        <f t="array" ref="K22">IF($A22="","",XLOOKUP($A22,'Shipment Setup'!$A:$A,'Shipment Setup'!$S:$S,""))</f>
        <v/>
      </c>
    </row>
    <row r="23" ht="14.25" customHeight="1">
      <c r="A23" s="30" t="str">
        <f>IF('Shipment Setup'!A23="","",'Shipment Setup'!A23)</f>
        <v/>
      </c>
      <c r="B23" s="30" t="str">
        <f t="array" ref="B23">IF($A23="","",XLOOKUP($A23,'Shipment Setup'!$A:$A,'Shipment Setup'!$B:$B,""))</f>
        <v/>
      </c>
      <c r="C23" s="30" t="str">
        <f t="array" ref="C23">IF($A23="","",XLOOKUP($A23,'Shipment Setup'!$A:$A,'Shipment Setup'!$C:$C,""))</f>
        <v/>
      </c>
      <c r="D23" s="30" t="str">
        <f t="array" ref="D23">IF($A23="","",XLOOKUP($A23,'Shipment Setup'!$A:$A,'Shipment Setup'!$N:$N,0))</f>
        <v/>
      </c>
      <c r="E23" s="30" t="str">
        <f t="array" ref="E23">IF($A23="","",XLOOKUP($A23,'Shipment Setup'!$A:$A,'Shipment Setup'!$P:$P,0))</f>
        <v/>
      </c>
      <c r="F23" s="30" t="str">
        <f>IF($A23="","",SUMIFS('Sales Ledger'!$K:$K,'Sales Ledger'!$A:$A,$A23))</f>
        <v/>
      </c>
      <c r="G23" s="30" t="str">
        <f>IF($A23="","",SUMIFS('Sales Ledger'!$I:$I,'Sales Ledger'!$A:$A,$A23))</f>
        <v/>
      </c>
      <c r="H23" s="30" t="str">
        <f t="array" ref="H23">IF($A23="","",MAX(0,XLOOKUP($A23,'Shipment Setup'!$A:$A,'Shipment Setup'!$L:$L,0)-G23))</f>
        <v/>
      </c>
      <c r="I23" s="30" t="str">
        <f t="array" ref="I23">IF($A23="","",(XLOOKUP($A23,'Shipment Setup'!$A:$A,'Shipment Setup'!$Q:$Q,0)+SUMIFS('Operations Ledger'!$E:$E,'Operations Ledger'!$A:$A,$A23,'Operations Ledger'!$B:$B,"Clenny",'Operations Ledger'!$F:$F,"Yes"))+((F23-(XLOOKUP($A23,'Shipment Setup'!$A:$A,'Shipment Setup'!$N:$N,0)+SUMIFS('Operations Ledger'!$E:$E,'Operations Ledger'!$A:$A,$A23,'Operations Ledger'!$F:$F,"Yes")))*IF((XLOOKUP($A23,'Shipment Setup'!$A:$A,'Shipment Setup'!$Q:$Q,0)+SUMIFS('Operations Ledger'!$E:$E,'Operations Ledger'!$A:$A,$A23,'Operations Ledger'!$B:$B,"Clenny",'Operations Ledger'!$F:$F,"Yes")+XLOOKUP($A23,'Shipment Setup'!$A:$A,'Shipment Setup'!$R:$R,0)+SUMIFS('Operations Ledger'!$E:$E,'Operations Ledger'!$A:$A,$A23,'Operations Ledger'!$B:$B,"Clanny",'Operations Ledger'!$F:$F,"Yes"))=0,0,(XLOOKUP($A23,'Shipment Setup'!$A:$A,'Shipment Setup'!$Q:$Q,0)+SUMIFS('Operations Ledger'!$E:$E,'Operations Ledger'!$A:$A,$A23,'Operations Ledger'!$B:$B,"Clenny",'Operations Ledger'!$F:$F,"Yes"))/(XLOOKUP($A23,'Shipment Setup'!$A:$A,'Shipment Setup'!$Q:$Q,0)+SUMIFS('Operations Ledger'!$E:$E,'Operations Ledger'!$A:$A,$A23,'Operations Ledger'!$B:$B,"Clenny",'Operations Ledger'!$F:$F,"Yes")+XLOOKUP($A23,'Shipment Setup'!$A:$A,'Shipment Setup'!$R:$R,0)+SUMIFS('Operations Ledger'!$E:$E,'Operations Ledger'!$A:$A,$A23,'Operations Ledger'!$B:$B,"Clanny",'Operations Ledger'!$F:$F,"Yes"))))-SUMIFS('Sales Ledger'!$K:$K,'Sales Ledger'!$A:$A,$A23,'Sales Ledger'!$L:$L,"Clenny"))</f>
        <v/>
      </c>
      <c r="J23" s="30" t="str">
        <f t="array" ref="J23">IF($A23="","",(XLOOKUP($A23,'Shipment Setup'!$A:$A,'Shipment Setup'!$R:$R,0)+SUMIFS('Operations Ledger'!$E:$E,'Operations Ledger'!$A:$A,$A23,'Operations Ledger'!$B:$B,"Clanny",'Operations Ledger'!$F:$F,"Yes"))+((F23-(XLOOKUP($A23,'Shipment Setup'!$A:$A,'Shipment Setup'!$N:$N,0)+SUMIFS('Operations Ledger'!$E:$E,'Operations Ledger'!$A:$A,$A23,'Operations Ledger'!$F:$F,"Yes")))*IF((XLOOKUP($A23,'Shipment Setup'!$A:$A,'Shipment Setup'!$Q:$Q,0)+SUMIFS('Operations Ledger'!$E:$E,'Operations Ledger'!$A:$A,$A23,'Operations Ledger'!$B:$B,"Clenny",'Operations Ledger'!$F:$F,"Yes")+XLOOKUP($A23,'Shipment Setup'!$A:$A,'Shipment Setup'!$R:$R,0)+SUMIFS('Operations Ledger'!$E:$E,'Operations Ledger'!$A:$A,$A23,'Operations Ledger'!$B:$B,"Clanny",'Operations Ledger'!$F:$F,"Yes"))=0,0,(XLOOKUP($A23,'Shipment Setup'!$A:$A,'Shipment Setup'!$R:$R,0)+SUMIFS('Operations Ledger'!$E:$E,'Operations Ledger'!$A:$A,$A23,'Operations Ledger'!$B:$B,"Clanny",'Operations Ledger'!$F:$F,"Yes"))/(XLOOKUP($A23,'Shipment Setup'!$A:$A,'Shipment Setup'!$Q:$Q,0)+SUMIFS('Operations Ledger'!$E:$E,'Operations Ledger'!$A:$A,$A23,'Operations Ledger'!$B:$B,"Clenny",'Operations Ledger'!$F:$F,"Yes")+XLOOKUP($A23,'Shipment Setup'!$A:$A,'Shipment Setup'!$R:$R,0)+SUMIFS('Operations Ledger'!$E:$E,'Operations Ledger'!$A:$A,$A23,'Operations Ledger'!$B:$B,"Clanny",'Operations Ledger'!$F:$F,"Yes"))))-SUMIFS('Sales Ledger'!$K:$K,'Sales Ledger'!$A:$A,$A23,'Sales Ledger'!$L:$L,"Clanny"))</f>
        <v/>
      </c>
      <c r="K23" s="30" t="str">
        <f t="array" ref="K23">IF($A23="","",XLOOKUP($A23,'Shipment Setup'!$A:$A,'Shipment Setup'!$S:$S,""))</f>
        <v/>
      </c>
    </row>
    <row r="24" ht="14.25" customHeight="1">
      <c r="A24" s="30" t="str">
        <f>IF('Shipment Setup'!A24="","",'Shipment Setup'!A24)</f>
        <v/>
      </c>
      <c r="B24" s="30" t="str">
        <f t="array" ref="B24">IF($A24="","",XLOOKUP($A24,'Shipment Setup'!$A:$A,'Shipment Setup'!$B:$B,""))</f>
        <v/>
      </c>
      <c r="C24" s="30" t="str">
        <f t="array" ref="C24">IF($A24="","",XLOOKUP($A24,'Shipment Setup'!$A:$A,'Shipment Setup'!$C:$C,""))</f>
        <v/>
      </c>
      <c r="D24" s="30" t="str">
        <f t="array" ref="D24">IF($A24="","",XLOOKUP($A24,'Shipment Setup'!$A:$A,'Shipment Setup'!$N:$N,0))</f>
        <v/>
      </c>
      <c r="E24" s="30" t="str">
        <f t="array" ref="E24">IF($A24="","",XLOOKUP($A24,'Shipment Setup'!$A:$A,'Shipment Setup'!$P:$P,0))</f>
        <v/>
      </c>
      <c r="F24" s="30" t="str">
        <f>IF($A24="","",SUMIFS('Sales Ledger'!$K:$K,'Sales Ledger'!$A:$A,$A24))</f>
        <v/>
      </c>
      <c r="G24" s="30" t="str">
        <f>IF($A24="","",SUMIFS('Sales Ledger'!$I:$I,'Sales Ledger'!$A:$A,$A24))</f>
        <v/>
      </c>
      <c r="H24" s="30" t="str">
        <f t="array" ref="H24">IF($A24="","",MAX(0,XLOOKUP($A24,'Shipment Setup'!$A:$A,'Shipment Setup'!$L:$L,0)-G24))</f>
        <v/>
      </c>
      <c r="I24" s="30" t="str">
        <f t="array" ref="I24">IF($A24="","",(XLOOKUP($A24,'Shipment Setup'!$A:$A,'Shipment Setup'!$Q:$Q,0)+SUMIFS('Operations Ledger'!$E:$E,'Operations Ledger'!$A:$A,$A24,'Operations Ledger'!$B:$B,"Clenny",'Operations Ledger'!$F:$F,"Yes"))+((F24-(XLOOKUP($A24,'Shipment Setup'!$A:$A,'Shipment Setup'!$N:$N,0)+SUMIFS('Operations Ledger'!$E:$E,'Operations Ledger'!$A:$A,$A24,'Operations Ledger'!$F:$F,"Yes")))*IF((XLOOKUP($A24,'Shipment Setup'!$A:$A,'Shipment Setup'!$Q:$Q,0)+SUMIFS('Operations Ledger'!$E:$E,'Operations Ledger'!$A:$A,$A24,'Operations Ledger'!$B:$B,"Clenny",'Operations Ledger'!$F:$F,"Yes")+XLOOKUP($A24,'Shipment Setup'!$A:$A,'Shipment Setup'!$R:$R,0)+SUMIFS('Operations Ledger'!$E:$E,'Operations Ledger'!$A:$A,$A24,'Operations Ledger'!$B:$B,"Clanny",'Operations Ledger'!$F:$F,"Yes"))=0,0,(XLOOKUP($A24,'Shipment Setup'!$A:$A,'Shipment Setup'!$Q:$Q,0)+SUMIFS('Operations Ledger'!$E:$E,'Operations Ledger'!$A:$A,$A24,'Operations Ledger'!$B:$B,"Clenny",'Operations Ledger'!$F:$F,"Yes"))/(XLOOKUP($A24,'Shipment Setup'!$A:$A,'Shipment Setup'!$Q:$Q,0)+SUMIFS('Operations Ledger'!$E:$E,'Operations Ledger'!$A:$A,$A24,'Operations Ledger'!$B:$B,"Clenny",'Operations Ledger'!$F:$F,"Yes")+XLOOKUP($A24,'Shipment Setup'!$A:$A,'Shipment Setup'!$R:$R,0)+SUMIFS('Operations Ledger'!$E:$E,'Operations Ledger'!$A:$A,$A24,'Operations Ledger'!$B:$B,"Clanny",'Operations Ledger'!$F:$F,"Yes"))))-SUMIFS('Sales Ledger'!$K:$K,'Sales Ledger'!$A:$A,$A24,'Sales Ledger'!$L:$L,"Clenny"))</f>
        <v/>
      </c>
      <c r="J24" s="30" t="str">
        <f t="array" ref="J24">IF($A24="","",(XLOOKUP($A24,'Shipment Setup'!$A:$A,'Shipment Setup'!$R:$R,0)+SUMIFS('Operations Ledger'!$E:$E,'Operations Ledger'!$A:$A,$A24,'Operations Ledger'!$B:$B,"Clanny",'Operations Ledger'!$F:$F,"Yes"))+((F24-(XLOOKUP($A24,'Shipment Setup'!$A:$A,'Shipment Setup'!$N:$N,0)+SUMIFS('Operations Ledger'!$E:$E,'Operations Ledger'!$A:$A,$A24,'Operations Ledger'!$F:$F,"Yes")))*IF((XLOOKUP($A24,'Shipment Setup'!$A:$A,'Shipment Setup'!$Q:$Q,0)+SUMIFS('Operations Ledger'!$E:$E,'Operations Ledger'!$A:$A,$A24,'Operations Ledger'!$B:$B,"Clenny",'Operations Ledger'!$F:$F,"Yes")+XLOOKUP($A24,'Shipment Setup'!$A:$A,'Shipment Setup'!$R:$R,0)+SUMIFS('Operations Ledger'!$E:$E,'Operations Ledger'!$A:$A,$A24,'Operations Ledger'!$B:$B,"Clanny",'Operations Ledger'!$F:$F,"Yes"))=0,0,(XLOOKUP($A24,'Shipment Setup'!$A:$A,'Shipment Setup'!$R:$R,0)+SUMIFS('Operations Ledger'!$E:$E,'Operations Ledger'!$A:$A,$A24,'Operations Ledger'!$B:$B,"Clanny",'Operations Ledger'!$F:$F,"Yes"))/(XLOOKUP($A24,'Shipment Setup'!$A:$A,'Shipment Setup'!$Q:$Q,0)+SUMIFS('Operations Ledger'!$E:$E,'Operations Ledger'!$A:$A,$A24,'Operations Ledger'!$B:$B,"Clenny",'Operations Ledger'!$F:$F,"Yes")+XLOOKUP($A24,'Shipment Setup'!$A:$A,'Shipment Setup'!$R:$R,0)+SUMIFS('Operations Ledger'!$E:$E,'Operations Ledger'!$A:$A,$A24,'Operations Ledger'!$B:$B,"Clanny",'Operations Ledger'!$F:$F,"Yes"))))-SUMIFS('Sales Ledger'!$K:$K,'Sales Ledger'!$A:$A,$A24,'Sales Ledger'!$L:$L,"Clanny"))</f>
        <v/>
      </c>
      <c r="K24" s="30" t="str">
        <f t="array" ref="K24">IF($A24="","",XLOOKUP($A24,'Shipment Setup'!$A:$A,'Shipment Setup'!$S:$S,""))</f>
        <v/>
      </c>
    </row>
    <row r="25" ht="14.25" customHeight="1">
      <c r="A25" s="30" t="str">
        <f>IF('Shipment Setup'!A25="","",'Shipment Setup'!A25)</f>
        <v/>
      </c>
      <c r="B25" s="30" t="str">
        <f t="array" ref="B25">IF($A25="","",XLOOKUP($A25,'Shipment Setup'!$A:$A,'Shipment Setup'!$B:$B,""))</f>
        <v/>
      </c>
      <c r="C25" s="30" t="str">
        <f t="array" ref="C25">IF($A25="","",XLOOKUP($A25,'Shipment Setup'!$A:$A,'Shipment Setup'!$C:$C,""))</f>
        <v/>
      </c>
      <c r="D25" s="30" t="str">
        <f t="array" ref="D25">IF($A25="","",XLOOKUP($A25,'Shipment Setup'!$A:$A,'Shipment Setup'!$N:$N,0))</f>
        <v/>
      </c>
      <c r="E25" s="30" t="str">
        <f t="array" ref="E25">IF($A25="","",XLOOKUP($A25,'Shipment Setup'!$A:$A,'Shipment Setup'!$P:$P,0))</f>
        <v/>
      </c>
      <c r="F25" s="30" t="str">
        <f>IF($A25="","",SUMIFS('Sales Ledger'!$K:$K,'Sales Ledger'!$A:$A,$A25))</f>
        <v/>
      </c>
      <c r="G25" s="30" t="str">
        <f>IF($A25="","",SUMIFS('Sales Ledger'!$I:$I,'Sales Ledger'!$A:$A,$A25))</f>
        <v/>
      </c>
      <c r="H25" s="30" t="str">
        <f t="array" ref="H25">IF($A25="","",MAX(0,XLOOKUP($A25,'Shipment Setup'!$A:$A,'Shipment Setup'!$L:$L,0)-G25))</f>
        <v/>
      </c>
      <c r="I25" s="30" t="str">
        <f t="array" ref="I25">IF($A25="","",(XLOOKUP($A25,'Shipment Setup'!$A:$A,'Shipment Setup'!$Q:$Q,0)+SUMIFS('Operations Ledger'!$E:$E,'Operations Ledger'!$A:$A,$A25,'Operations Ledger'!$B:$B,"Clenny",'Operations Ledger'!$F:$F,"Yes"))+((F25-(XLOOKUP($A25,'Shipment Setup'!$A:$A,'Shipment Setup'!$N:$N,0)+SUMIFS('Operations Ledger'!$E:$E,'Operations Ledger'!$A:$A,$A25,'Operations Ledger'!$F:$F,"Yes")))*IF((XLOOKUP($A25,'Shipment Setup'!$A:$A,'Shipment Setup'!$Q:$Q,0)+SUMIFS('Operations Ledger'!$E:$E,'Operations Ledger'!$A:$A,$A25,'Operations Ledger'!$B:$B,"Clenny",'Operations Ledger'!$F:$F,"Yes")+XLOOKUP($A25,'Shipment Setup'!$A:$A,'Shipment Setup'!$R:$R,0)+SUMIFS('Operations Ledger'!$E:$E,'Operations Ledger'!$A:$A,$A25,'Operations Ledger'!$B:$B,"Clanny",'Operations Ledger'!$F:$F,"Yes"))=0,0,(XLOOKUP($A25,'Shipment Setup'!$A:$A,'Shipment Setup'!$Q:$Q,0)+SUMIFS('Operations Ledger'!$E:$E,'Operations Ledger'!$A:$A,$A25,'Operations Ledger'!$B:$B,"Clenny",'Operations Ledger'!$F:$F,"Yes"))/(XLOOKUP($A25,'Shipment Setup'!$A:$A,'Shipment Setup'!$Q:$Q,0)+SUMIFS('Operations Ledger'!$E:$E,'Operations Ledger'!$A:$A,$A25,'Operations Ledger'!$B:$B,"Clenny",'Operations Ledger'!$F:$F,"Yes")+XLOOKUP($A25,'Shipment Setup'!$A:$A,'Shipment Setup'!$R:$R,0)+SUMIFS('Operations Ledger'!$E:$E,'Operations Ledger'!$A:$A,$A25,'Operations Ledger'!$B:$B,"Clanny",'Operations Ledger'!$F:$F,"Yes"))))-SUMIFS('Sales Ledger'!$K:$K,'Sales Ledger'!$A:$A,$A25,'Sales Ledger'!$L:$L,"Clenny"))</f>
        <v/>
      </c>
      <c r="J25" s="30" t="str">
        <f t="array" ref="J25">IF($A25="","",(XLOOKUP($A25,'Shipment Setup'!$A:$A,'Shipment Setup'!$R:$R,0)+SUMIFS('Operations Ledger'!$E:$E,'Operations Ledger'!$A:$A,$A25,'Operations Ledger'!$B:$B,"Clanny",'Operations Ledger'!$F:$F,"Yes"))+((F25-(XLOOKUP($A25,'Shipment Setup'!$A:$A,'Shipment Setup'!$N:$N,0)+SUMIFS('Operations Ledger'!$E:$E,'Operations Ledger'!$A:$A,$A25,'Operations Ledger'!$F:$F,"Yes")))*IF((XLOOKUP($A25,'Shipment Setup'!$A:$A,'Shipment Setup'!$Q:$Q,0)+SUMIFS('Operations Ledger'!$E:$E,'Operations Ledger'!$A:$A,$A25,'Operations Ledger'!$B:$B,"Clenny",'Operations Ledger'!$F:$F,"Yes")+XLOOKUP($A25,'Shipment Setup'!$A:$A,'Shipment Setup'!$R:$R,0)+SUMIFS('Operations Ledger'!$E:$E,'Operations Ledger'!$A:$A,$A25,'Operations Ledger'!$B:$B,"Clanny",'Operations Ledger'!$F:$F,"Yes"))=0,0,(XLOOKUP($A25,'Shipment Setup'!$A:$A,'Shipment Setup'!$R:$R,0)+SUMIFS('Operations Ledger'!$E:$E,'Operations Ledger'!$A:$A,$A25,'Operations Ledger'!$B:$B,"Clanny",'Operations Ledger'!$F:$F,"Yes"))/(XLOOKUP($A25,'Shipment Setup'!$A:$A,'Shipment Setup'!$Q:$Q,0)+SUMIFS('Operations Ledger'!$E:$E,'Operations Ledger'!$A:$A,$A25,'Operations Ledger'!$B:$B,"Clenny",'Operations Ledger'!$F:$F,"Yes")+XLOOKUP($A25,'Shipment Setup'!$A:$A,'Shipment Setup'!$R:$R,0)+SUMIFS('Operations Ledger'!$E:$E,'Operations Ledger'!$A:$A,$A25,'Operations Ledger'!$B:$B,"Clanny",'Operations Ledger'!$F:$F,"Yes"))))-SUMIFS('Sales Ledger'!$K:$K,'Sales Ledger'!$A:$A,$A25,'Sales Ledger'!$L:$L,"Clanny"))</f>
        <v/>
      </c>
      <c r="K25" s="30" t="str">
        <f t="array" ref="K25">IF($A25="","",XLOOKUP($A25,'Shipment Setup'!$A:$A,'Shipment Setup'!$S:$S,""))</f>
        <v/>
      </c>
    </row>
    <row r="26" ht="14.25" customHeight="1">
      <c r="A26" s="30" t="str">
        <f>IF('Shipment Setup'!A26="","",'Shipment Setup'!A26)</f>
        <v/>
      </c>
      <c r="B26" s="30" t="str">
        <f t="array" ref="B26">IF($A26="","",XLOOKUP($A26,'Shipment Setup'!$A:$A,'Shipment Setup'!$B:$B,""))</f>
        <v/>
      </c>
      <c r="C26" s="30" t="str">
        <f t="array" ref="C26">IF($A26="","",XLOOKUP($A26,'Shipment Setup'!$A:$A,'Shipment Setup'!$C:$C,""))</f>
        <v/>
      </c>
      <c r="D26" s="30" t="str">
        <f t="array" ref="D26">IF($A26="","",XLOOKUP($A26,'Shipment Setup'!$A:$A,'Shipment Setup'!$N:$N,0))</f>
        <v/>
      </c>
      <c r="E26" s="30" t="str">
        <f t="array" ref="E26">IF($A26="","",XLOOKUP($A26,'Shipment Setup'!$A:$A,'Shipment Setup'!$P:$P,0))</f>
        <v/>
      </c>
      <c r="F26" s="30" t="str">
        <f>IF($A26="","",SUMIFS('Sales Ledger'!$K:$K,'Sales Ledger'!$A:$A,$A26))</f>
        <v/>
      </c>
      <c r="G26" s="30" t="str">
        <f>IF($A26="","",SUMIFS('Sales Ledger'!$I:$I,'Sales Ledger'!$A:$A,$A26))</f>
        <v/>
      </c>
      <c r="H26" s="30" t="str">
        <f t="array" ref="H26">IF($A26="","",MAX(0,XLOOKUP($A26,'Shipment Setup'!$A:$A,'Shipment Setup'!$L:$L,0)-G26))</f>
        <v/>
      </c>
      <c r="I26" s="30" t="str">
        <f t="array" ref="I26">IF($A26="","",(XLOOKUP($A26,'Shipment Setup'!$A:$A,'Shipment Setup'!$Q:$Q,0)+SUMIFS('Operations Ledger'!$E:$E,'Operations Ledger'!$A:$A,$A26,'Operations Ledger'!$B:$B,"Clenny",'Operations Ledger'!$F:$F,"Yes"))+((F26-(XLOOKUP($A26,'Shipment Setup'!$A:$A,'Shipment Setup'!$N:$N,0)+SUMIFS('Operations Ledger'!$E:$E,'Operations Ledger'!$A:$A,$A26,'Operations Ledger'!$F:$F,"Yes")))*IF((XLOOKUP($A26,'Shipment Setup'!$A:$A,'Shipment Setup'!$Q:$Q,0)+SUMIFS('Operations Ledger'!$E:$E,'Operations Ledger'!$A:$A,$A26,'Operations Ledger'!$B:$B,"Clenny",'Operations Ledger'!$F:$F,"Yes")+XLOOKUP($A26,'Shipment Setup'!$A:$A,'Shipment Setup'!$R:$R,0)+SUMIFS('Operations Ledger'!$E:$E,'Operations Ledger'!$A:$A,$A26,'Operations Ledger'!$B:$B,"Clanny",'Operations Ledger'!$F:$F,"Yes"))=0,0,(XLOOKUP($A26,'Shipment Setup'!$A:$A,'Shipment Setup'!$Q:$Q,0)+SUMIFS('Operations Ledger'!$E:$E,'Operations Ledger'!$A:$A,$A26,'Operations Ledger'!$B:$B,"Clenny",'Operations Ledger'!$F:$F,"Yes"))/(XLOOKUP($A26,'Shipment Setup'!$A:$A,'Shipment Setup'!$Q:$Q,0)+SUMIFS('Operations Ledger'!$E:$E,'Operations Ledger'!$A:$A,$A26,'Operations Ledger'!$B:$B,"Clenny",'Operations Ledger'!$F:$F,"Yes")+XLOOKUP($A26,'Shipment Setup'!$A:$A,'Shipment Setup'!$R:$R,0)+SUMIFS('Operations Ledger'!$E:$E,'Operations Ledger'!$A:$A,$A26,'Operations Ledger'!$B:$B,"Clanny",'Operations Ledger'!$F:$F,"Yes"))))-SUMIFS('Sales Ledger'!$K:$K,'Sales Ledger'!$A:$A,$A26,'Sales Ledger'!$L:$L,"Clenny"))</f>
        <v/>
      </c>
      <c r="J26" s="30" t="str">
        <f t="array" ref="J26">IF($A26="","",(XLOOKUP($A26,'Shipment Setup'!$A:$A,'Shipment Setup'!$R:$R,0)+SUMIFS('Operations Ledger'!$E:$E,'Operations Ledger'!$A:$A,$A26,'Operations Ledger'!$B:$B,"Clanny",'Operations Ledger'!$F:$F,"Yes"))+((F26-(XLOOKUP($A26,'Shipment Setup'!$A:$A,'Shipment Setup'!$N:$N,0)+SUMIFS('Operations Ledger'!$E:$E,'Operations Ledger'!$A:$A,$A26,'Operations Ledger'!$F:$F,"Yes")))*IF((XLOOKUP($A26,'Shipment Setup'!$A:$A,'Shipment Setup'!$Q:$Q,0)+SUMIFS('Operations Ledger'!$E:$E,'Operations Ledger'!$A:$A,$A26,'Operations Ledger'!$B:$B,"Clenny",'Operations Ledger'!$F:$F,"Yes")+XLOOKUP($A26,'Shipment Setup'!$A:$A,'Shipment Setup'!$R:$R,0)+SUMIFS('Operations Ledger'!$E:$E,'Operations Ledger'!$A:$A,$A26,'Operations Ledger'!$B:$B,"Clanny",'Operations Ledger'!$F:$F,"Yes"))=0,0,(XLOOKUP($A26,'Shipment Setup'!$A:$A,'Shipment Setup'!$R:$R,0)+SUMIFS('Operations Ledger'!$E:$E,'Operations Ledger'!$A:$A,$A26,'Operations Ledger'!$B:$B,"Clanny",'Operations Ledger'!$F:$F,"Yes"))/(XLOOKUP($A26,'Shipment Setup'!$A:$A,'Shipment Setup'!$Q:$Q,0)+SUMIFS('Operations Ledger'!$E:$E,'Operations Ledger'!$A:$A,$A26,'Operations Ledger'!$B:$B,"Clenny",'Operations Ledger'!$F:$F,"Yes")+XLOOKUP($A26,'Shipment Setup'!$A:$A,'Shipment Setup'!$R:$R,0)+SUMIFS('Operations Ledger'!$E:$E,'Operations Ledger'!$A:$A,$A26,'Operations Ledger'!$B:$B,"Clanny",'Operations Ledger'!$F:$F,"Yes"))))-SUMIFS('Sales Ledger'!$K:$K,'Sales Ledger'!$A:$A,$A26,'Sales Ledger'!$L:$L,"Clanny"))</f>
        <v/>
      </c>
      <c r="K26" s="30" t="str">
        <f t="array" ref="K26">IF($A26="","",XLOOKUP($A26,'Shipment Setup'!$A:$A,'Shipment Setup'!$S:$S,""))</f>
        <v/>
      </c>
    </row>
    <row r="27" ht="14.25" customHeight="1">
      <c r="A27" s="30" t="str">
        <f>IF('Shipment Setup'!A27="","",'Shipment Setup'!A27)</f>
        <v/>
      </c>
      <c r="B27" s="30" t="str">
        <f t="array" ref="B27">IF($A27="","",XLOOKUP($A27,'Shipment Setup'!$A:$A,'Shipment Setup'!$B:$B,""))</f>
        <v/>
      </c>
      <c r="C27" s="30" t="str">
        <f t="array" ref="C27">IF($A27="","",XLOOKUP($A27,'Shipment Setup'!$A:$A,'Shipment Setup'!$C:$C,""))</f>
        <v/>
      </c>
      <c r="D27" s="30" t="str">
        <f t="array" ref="D27">IF($A27="","",XLOOKUP($A27,'Shipment Setup'!$A:$A,'Shipment Setup'!$N:$N,0))</f>
        <v/>
      </c>
      <c r="E27" s="30" t="str">
        <f t="array" ref="E27">IF($A27="","",XLOOKUP($A27,'Shipment Setup'!$A:$A,'Shipment Setup'!$P:$P,0))</f>
        <v/>
      </c>
      <c r="F27" s="30" t="str">
        <f>IF($A27="","",SUMIFS('Sales Ledger'!$K:$K,'Sales Ledger'!$A:$A,$A27))</f>
        <v/>
      </c>
      <c r="G27" s="30" t="str">
        <f>IF($A27="","",SUMIFS('Sales Ledger'!$I:$I,'Sales Ledger'!$A:$A,$A27))</f>
        <v/>
      </c>
      <c r="H27" s="30" t="str">
        <f t="array" ref="H27">IF($A27="","",MAX(0,XLOOKUP($A27,'Shipment Setup'!$A:$A,'Shipment Setup'!$L:$L,0)-G27))</f>
        <v/>
      </c>
      <c r="I27" s="30" t="str">
        <f t="array" ref="I27">IF($A27="","",(XLOOKUP($A27,'Shipment Setup'!$A:$A,'Shipment Setup'!$Q:$Q,0)+SUMIFS('Operations Ledger'!$E:$E,'Operations Ledger'!$A:$A,$A27,'Operations Ledger'!$B:$B,"Clenny",'Operations Ledger'!$F:$F,"Yes"))+((F27-(XLOOKUP($A27,'Shipment Setup'!$A:$A,'Shipment Setup'!$N:$N,0)+SUMIFS('Operations Ledger'!$E:$E,'Operations Ledger'!$A:$A,$A27,'Operations Ledger'!$F:$F,"Yes")))*IF((XLOOKUP($A27,'Shipment Setup'!$A:$A,'Shipment Setup'!$Q:$Q,0)+SUMIFS('Operations Ledger'!$E:$E,'Operations Ledger'!$A:$A,$A27,'Operations Ledger'!$B:$B,"Clenny",'Operations Ledger'!$F:$F,"Yes")+XLOOKUP($A27,'Shipment Setup'!$A:$A,'Shipment Setup'!$R:$R,0)+SUMIFS('Operations Ledger'!$E:$E,'Operations Ledger'!$A:$A,$A27,'Operations Ledger'!$B:$B,"Clanny",'Operations Ledger'!$F:$F,"Yes"))=0,0,(XLOOKUP($A27,'Shipment Setup'!$A:$A,'Shipment Setup'!$Q:$Q,0)+SUMIFS('Operations Ledger'!$E:$E,'Operations Ledger'!$A:$A,$A27,'Operations Ledger'!$B:$B,"Clenny",'Operations Ledger'!$F:$F,"Yes"))/(XLOOKUP($A27,'Shipment Setup'!$A:$A,'Shipment Setup'!$Q:$Q,0)+SUMIFS('Operations Ledger'!$E:$E,'Operations Ledger'!$A:$A,$A27,'Operations Ledger'!$B:$B,"Clenny",'Operations Ledger'!$F:$F,"Yes")+XLOOKUP($A27,'Shipment Setup'!$A:$A,'Shipment Setup'!$R:$R,0)+SUMIFS('Operations Ledger'!$E:$E,'Operations Ledger'!$A:$A,$A27,'Operations Ledger'!$B:$B,"Clanny",'Operations Ledger'!$F:$F,"Yes"))))-SUMIFS('Sales Ledger'!$K:$K,'Sales Ledger'!$A:$A,$A27,'Sales Ledger'!$L:$L,"Clenny"))</f>
        <v/>
      </c>
      <c r="J27" s="30" t="str">
        <f t="array" ref="J27">IF($A27="","",(XLOOKUP($A27,'Shipment Setup'!$A:$A,'Shipment Setup'!$R:$R,0)+SUMIFS('Operations Ledger'!$E:$E,'Operations Ledger'!$A:$A,$A27,'Operations Ledger'!$B:$B,"Clanny",'Operations Ledger'!$F:$F,"Yes"))+((F27-(XLOOKUP($A27,'Shipment Setup'!$A:$A,'Shipment Setup'!$N:$N,0)+SUMIFS('Operations Ledger'!$E:$E,'Operations Ledger'!$A:$A,$A27,'Operations Ledger'!$F:$F,"Yes")))*IF((XLOOKUP($A27,'Shipment Setup'!$A:$A,'Shipment Setup'!$Q:$Q,0)+SUMIFS('Operations Ledger'!$E:$E,'Operations Ledger'!$A:$A,$A27,'Operations Ledger'!$B:$B,"Clenny",'Operations Ledger'!$F:$F,"Yes")+XLOOKUP($A27,'Shipment Setup'!$A:$A,'Shipment Setup'!$R:$R,0)+SUMIFS('Operations Ledger'!$E:$E,'Operations Ledger'!$A:$A,$A27,'Operations Ledger'!$B:$B,"Clanny",'Operations Ledger'!$F:$F,"Yes"))=0,0,(XLOOKUP($A27,'Shipment Setup'!$A:$A,'Shipment Setup'!$R:$R,0)+SUMIFS('Operations Ledger'!$E:$E,'Operations Ledger'!$A:$A,$A27,'Operations Ledger'!$B:$B,"Clanny",'Operations Ledger'!$F:$F,"Yes"))/(XLOOKUP($A27,'Shipment Setup'!$A:$A,'Shipment Setup'!$Q:$Q,0)+SUMIFS('Operations Ledger'!$E:$E,'Operations Ledger'!$A:$A,$A27,'Operations Ledger'!$B:$B,"Clenny",'Operations Ledger'!$F:$F,"Yes")+XLOOKUP($A27,'Shipment Setup'!$A:$A,'Shipment Setup'!$R:$R,0)+SUMIFS('Operations Ledger'!$E:$E,'Operations Ledger'!$A:$A,$A27,'Operations Ledger'!$B:$B,"Clanny",'Operations Ledger'!$F:$F,"Yes"))))-SUMIFS('Sales Ledger'!$K:$K,'Sales Ledger'!$A:$A,$A27,'Sales Ledger'!$L:$L,"Clanny"))</f>
        <v/>
      </c>
      <c r="K27" s="30" t="str">
        <f t="array" ref="K27">IF($A27="","",XLOOKUP($A27,'Shipment Setup'!$A:$A,'Shipment Setup'!$S:$S,""))</f>
        <v/>
      </c>
    </row>
    <row r="28" ht="14.25" customHeight="1">
      <c r="A28" s="30" t="str">
        <f>IF('Shipment Setup'!A28="","",'Shipment Setup'!A28)</f>
        <v/>
      </c>
      <c r="B28" s="30" t="str">
        <f t="array" ref="B28">IF($A28="","",XLOOKUP($A28,'Shipment Setup'!$A:$A,'Shipment Setup'!$B:$B,""))</f>
        <v/>
      </c>
      <c r="C28" s="30" t="str">
        <f t="array" ref="C28">IF($A28="","",XLOOKUP($A28,'Shipment Setup'!$A:$A,'Shipment Setup'!$C:$C,""))</f>
        <v/>
      </c>
      <c r="D28" s="30" t="str">
        <f t="array" ref="D28">IF($A28="","",XLOOKUP($A28,'Shipment Setup'!$A:$A,'Shipment Setup'!$N:$N,0))</f>
        <v/>
      </c>
      <c r="E28" s="30" t="str">
        <f t="array" ref="E28">IF($A28="","",XLOOKUP($A28,'Shipment Setup'!$A:$A,'Shipment Setup'!$P:$P,0))</f>
        <v/>
      </c>
      <c r="F28" s="30" t="str">
        <f>IF($A28="","",SUMIFS('Sales Ledger'!$K:$K,'Sales Ledger'!$A:$A,$A28))</f>
        <v/>
      </c>
      <c r="G28" s="30" t="str">
        <f>IF($A28="","",SUMIFS('Sales Ledger'!$I:$I,'Sales Ledger'!$A:$A,$A28))</f>
        <v/>
      </c>
      <c r="H28" s="30" t="str">
        <f t="array" ref="H28">IF($A28="","",MAX(0,XLOOKUP($A28,'Shipment Setup'!$A:$A,'Shipment Setup'!$L:$L,0)-G28))</f>
        <v/>
      </c>
      <c r="I28" s="30" t="str">
        <f t="array" ref="I28">IF($A28="","",(XLOOKUP($A28,'Shipment Setup'!$A:$A,'Shipment Setup'!$Q:$Q,0)+SUMIFS('Operations Ledger'!$E:$E,'Operations Ledger'!$A:$A,$A28,'Operations Ledger'!$B:$B,"Clenny",'Operations Ledger'!$F:$F,"Yes"))+((F28-(XLOOKUP($A28,'Shipment Setup'!$A:$A,'Shipment Setup'!$N:$N,0)+SUMIFS('Operations Ledger'!$E:$E,'Operations Ledger'!$A:$A,$A28,'Operations Ledger'!$F:$F,"Yes")))*IF((XLOOKUP($A28,'Shipment Setup'!$A:$A,'Shipment Setup'!$Q:$Q,0)+SUMIFS('Operations Ledger'!$E:$E,'Operations Ledger'!$A:$A,$A28,'Operations Ledger'!$B:$B,"Clenny",'Operations Ledger'!$F:$F,"Yes")+XLOOKUP($A28,'Shipment Setup'!$A:$A,'Shipment Setup'!$R:$R,0)+SUMIFS('Operations Ledger'!$E:$E,'Operations Ledger'!$A:$A,$A28,'Operations Ledger'!$B:$B,"Clanny",'Operations Ledger'!$F:$F,"Yes"))=0,0,(XLOOKUP($A28,'Shipment Setup'!$A:$A,'Shipment Setup'!$Q:$Q,0)+SUMIFS('Operations Ledger'!$E:$E,'Operations Ledger'!$A:$A,$A28,'Operations Ledger'!$B:$B,"Clenny",'Operations Ledger'!$F:$F,"Yes"))/(XLOOKUP($A28,'Shipment Setup'!$A:$A,'Shipment Setup'!$Q:$Q,0)+SUMIFS('Operations Ledger'!$E:$E,'Operations Ledger'!$A:$A,$A28,'Operations Ledger'!$B:$B,"Clenny",'Operations Ledger'!$F:$F,"Yes")+XLOOKUP($A28,'Shipment Setup'!$A:$A,'Shipment Setup'!$R:$R,0)+SUMIFS('Operations Ledger'!$E:$E,'Operations Ledger'!$A:$A,$A28,'Operations Ledger'!$B:$B,"Clanny",'Operations Ledger'!$F:$F,"Yes"))))-SUMIFS('Sales Ledger'!$K:$K,'Sales Ledger'!$A:$A,$A28,'Sales Ledger'!$L:$L,"Clenny"))</f>
        <v/>
      </c>
      <c r="J28" s="30" t="str">
        <f t="array" ref="J28">IF($A28="","",(XLOOKUP($A28,'Shipment Setup'!$A:$A,'Shipment Setup'!$R:$R,0)+SUMIFS('Operations Ledger'!$E:$E,'Operations Ledger'!$A:$A,$A28,'Operations Ledger'!$B:$B,"Clanny",'Operations Ledger'!$F:$F,"Yes"))+((F28-(XLOOKUP($A28,'Shipment Setup'!$A:$A,'Shipment Setup'!$N:$N,0)+SUMIFS('Operations Ledger'!$E:$E,'Operations Ledger'!$A:$A,$A28,'Operations Ledger'!$F:$F,"Yes")))*IF((XLOOKUP($A28,'Shipment Setup'!$A:$A,'Shipment Setup'!$Q:$Q,0)+SUMIFS('Operations Ledger'!$E:$E,'Operations Ledger'!$A:$A,$A28,'Operations Ledger'!$B:$B,"Clenny",'Operations Ledger'!$F:$F,"Yes")+XLOOKUP($A28,'Shipment Setup'!$A:$A,'Shipment Setup'!$R:$R,0)+SUMIFS('Operations Ledger'!$E:$E,'Operations Ledger'!$A:$A,$A28,'Operations Ledger'!$B:$B,"Clanny",'Operations Ledger'!$F:$F,"Yes"))=0,0,(XLOOKUP($A28,'Shipment Setup'!$A:$A,'Shipment Setup'!$R:$R,0)+SUMIFS('Operations Ledger'!$E:$E,'Operations Ledger'!$A:$A,$A28,'Operations Ledger'!$B:$B,"Clanny",'Operations Ledger'!$F:$F,"Yes"))/(XLOOKUP($A28,'Shipment Setup'!$A:$A,'Shipment Setup'!$Q:$Q,0)+SUMIFS('Operations Ledger'!$E:$E,'Operations Ledger'!$A:$A,$A28,'Operations Ledger'!$B:$B,"Clenny",'Operations Ledger'!$F:$F,"Yes")+XLOOKUP($A28,'Shipment Setup'!$A:$A,'Shipment Setup'!$R:$R,0)+SUMIFS('Operations Ledger'!$E:$E,'Operations Ledger'!$A:$A,$A28,'Operations Ledger'!$B:$B,"Clanny",'Operations Ledger'!$F:$F,"Yes"))))-SUMIFS('Sales Ledger'!$K:$K,'Sales Ledger'!$A:$A,$A28,'Sales Ledger'!$L:$L,"Clanny"))</f>
        <v/>
      </c>
      <c r="K28" s="30" t="str">
        <f t="array" ref="K28">IF($A28="","",XLOOKUP($A28,'Shipment Setup'!$A:$A,'Shipment Setup'!$S:$S,""))</f>
        <v/>
      </c>
    </row>
    <row r="29" ht="14.25" customHeight="1">
      <c r="A29" s="30" t="str">
        <f>IF('Shipment Setup'!A29="","",'Shipment Setup'!A29)</f>
        <v/>
      </c>
      <c r="B29" s="30" t="str">
        <f t="array" ref="B29">IF($A29="","",XLOOKUP($A29,'Shipment Setup'!$A:$A,'Shipment Setup'!$B:$B,""))</f>
        <v/>
      </c>
      <c r="C29" s="30" t="str">
        <f t="array" ref="C29">IF($A29="","",XLOOKUP($A29,'Shipment Setup'!$A:$A,'Shipment Setup'!$C:$C,""))</f>
        <v/>
      </c>
      <c r="D29" s="30" t="str">
        <f t="array" ref="D29">IF($A29="","",XLOOKUP($A29,'Shipment Setup'!$A:$A,'Shipment Setup'!$N:$N,0))</f>
        <v/>
      </c>
      <c r="E29" s="30" t="str">
        <f t="array" ref="E29">IF($A29="","",XLOOKUP($A29,'Shipment Setup'!$A:$A,'Shipment Setup'!$P:$P,0))</f>
        <v/>
      </c>
      <c r="F29" s="30" t="str">
        <f>IF($A29="","",SUMIFS('Sales Ledger'!$K:$K,'Sales Ledger'!$A:$A,$A29))</f>
        <v/>
      </c>
      <c r="G29" s="30" t="str">
        <f>IF($A29="","",SUMIFS('Sales Ledger'!$I:$I,'Sales Ledger'!$A:$A,$A29))</f>
        <v/>
      </c>
      <c r="H29" s="30" t="str">
        <f t="array" ref="H29">IF($A29="","",MAX(0,XLOOKUP($A29,'Shipment Setup'!$A:$A,'Shipment Setup'!$L:$L,0)-G29))</f>
        <v/>
      </c>
      <c r="I29" s="30" t="str">
        <f t="array" ref="I29">IF($A29="","",(XLOOKUP($A29,'Shipment Setup'!$A:$A,'Shipment Setup'!$Q:$Q,0)+SUMIFS('Operations Ledger'!$E:$E,'Operations Ledger'!$A:$A,$A29,'Operations Ledger'!$B:$B,"Clenny",'Operations Ledger'!$F:$F,"Yes"))+((F29-(XLOOKUP($A29,'Shipment Setup'!$A:$A,'Shipment Setup'!$N:$N,0)+SUMIFS('Operations Ledger'!$E:$E,'Operations Ledger'!$A:$A,$A29,'Operations Ledger'!$F:$F,"Yes")))*IF((XLOOKUP($A29,'Shipment Setup'!$A:$A,'Shipment Setup'!$Q:$Q,0)+SUMIFS('Operations Ledger'!$E:$E,'Operations Ledger'!$A:$A,$A29,'Operations Ledger'!$B:$B,"Clenny",'Operations Ledger'!$F:$F,"Yes")+XLOOKUP($A29,'Shipment Setup'!$A:$A,'Shipment Setup'!$R:$R,0)+SUMIFS('Operations Ledger'!$E:$E,'Operations Ledger'!$A:$A,$A29,'Operations Ledger'!$B:$B,"Clanny",'Operations Ledger'!$F:$F,"Yes"))=0,0,(XLOOKUP($A29,'Shipment Setup'!$A:$A,'Shipment Setup'!$Q:$Q,0)+SUMIFS('Operations Ledger'!$E:$E,'Operations Ledger'!$A:$A,$A29,'Operations Ledger'!$B:$B,"Clenny",'Operations Ledger'!$F:$F,"Yes"))/(XLOOKUP($A29,'Shipment Setup'!$A:$A,'Shipment Setup'!$Q:$Q,0)+SUMIFS('Operations Ledger'!$E:$E,'Operations Ledger'!$A:$A,$A29,'Operations Ledger'!$B:$B,"Clenny",'Operations Ledger'!$F:$F,"Yes")+XLOOKUP($A29,'Shipment Setup'!$A:$A,'Shipment Setup'!$R:$R,0)+SUMIFS('Operations Ledger'!$E:$E,'Operations Ledger'!$A:$A,$A29,'Operations Ledger'!$B:$B,"Clanny",'Operations Ledger'!$F:$F,"Yes"))))-SUMIFS('Sales Ledger'!$K:$K,'Sales Ledger'!$A:$A,$A29,'Sales Ledger'!$L:$L,"Clenny"))</f>
        <v/>
      </c>
      <c r="J29" s="30" t="str">
        <f t="array" ref="J29">IF($A29="","",(XLOOKUP($A29,'Shipment Setup'!$A:$A,'Shipment Setup'!$R:$R,0)+SUMIFS('Operations Ledger'!$E:$E,'Operations Ledger'!$A:$A,$A29,'Operations Ledger'!$B:$B,"Clanny",'Operations Ledger'!$F:$F,"Yes"))+((F29-(XLOOKUP($A29,'Shipment Setup'!$A:$A,'Shipment Setup'!$N:$N,0)+SUMIFS('Operations Ledger'!$E:$E,'Operations Ledger'!$A:$A,$A29,'Operations Ledger'!$F:$F,"Yes")))*IF((XLOOKUP($A29,'Shipment Setup'!$A:$A,'Shipment Setup'!$Q:$Q,0)+SUMIFS('Operations Ledger'!$E:$E,'Operations Ledger'!$A:$A,$A29,'Operations Ledger'!$B:$B,"Clenny",'Operations Ledger'!$F:$F,"Yes")+XLOOKUP($A29,'Shipment Setup'!$A:$A,'Shipment Setup'!$R:$R,0)+SUMIFS('Operations Ledger'!$E:$E,'Operations Ledger'!$A:$A,$A29,'Operations Ledger'!$B:$B,"Clanny",'Operations Ledger'!$F:$F,"Yes"))=0,0,(XLOOKUP($A29,'Shipment Setup'!$A:$A,'Shipment Setup'!$R:$R,0)+SUMIFS('Operations Ledger'!$E:$E,'Operations Ledger'!$A:$A,$A29,'Operations Ledger'!$B:$B,"Clanny",'Operations Ledger'!$F:$F,"Yes"))/(XLOOKUP($A29,'Shipment Setup'!$A:$A,'Shipment Setup'!$Q:$Q,0)+SUMIFS('Operations Ledger'!$E:$E,'Operations Ledger'!$A:$A,$A29,'Operations Ledger'!$B:$B,"Clenny",'Operations Ledger'!$F:$F,"Yes")+XLOOKUP($A29,'Shipment Setup'!$A:$A,'Shipment Setup'!$R:$R,0)+SUMIFS('Operations Ledger'!$E:$E,'Operations Ledger'!$A:$A,$A29,'Operations Ledger'!$B:$B,"Clanny",'Operations Ledger'!$F:$F,"Yes"))))-SUMIFS('Sales Ledger'!$K:$K,'Sales Ledger'!$A:$A,$A29,'Sales Ledger'!$L:$L,"Clanny"))</f>
        <v/>
      </c>
      <c r="K29" s="30" t="str">
        <f t="array" ref="K29">IF($A29="","",XLOOKUP($A29,'Shipment Setup'!$A:$A,'Shipment Setup'!$S:$S,""))</f>
        <v/>
      </c>
    </row>
    <row r="30" ht="14.25" customHeight="1">
      <c r="A30" s="30" t="str">
        <f>IF('Shipment Setup'!A30="","",'Shipment Setup'!A30)</f>
        <v/>
      </c>
      <c r="B30" s="30" t="str">
        <f t="array" ref="B30">IF($A30="","",XLOOKUP($A30,'Shipment Setup'!$A:$A,'Shipment Setup'!$B:$B,""))</f>
        <v/>
      </c>
      <c r="C30" s="30" t="str">
        <f t="array" ref="C30">IF($A30="","",XLOOKUP($A30,'Shipment Setup'!$A:$A,'Shipment Setup'!$C:$C,""))</f>
        <v/>
      </c>
      <c r="D30" s="30" t="str">
        <f t="array" ref="D30">IF($A30="","",XLOOKUP($A30,'Shipment Setup'!$A:$A,'Shipment Setup'!$N:$N,0))</f>
        <v/>
      </c>
      <c r="E30" s="30" t="str">
        <f t="array" ref="E30">IF($A30="","",XLOOKUP($A30,'Shipment Setup'!$A:$A,'Shipment Setup'!$P:$P,0))</f>
        <v/>
      </c>
      <c r="F30" s="30" t="str">
        <f>IF($A30="","",SUMIFS('Sales Ledger'!$K:$K,'Sales Ledger'!$A:$A,$A30))</f>
        <v/>
      </c>
      <c r="G30" s="30" t="str">
        <f>IF($A30="","",SUMIFS('Sales Ledger'!$I:$I,'Sales Ledger'!$A:$A,$A30))</f>
        <v/>
      </c>
      <c r="H30" s="30" t="str">
        <f t="array" ref="H30">IF($A30="","",MAX(0,XLOOKUP($A30,'Shipment Setup'!$A:$A,'Shipment Setup'!$L:$L,0)-G30))</f>
        <v/>
      </c>
      <c r="I30" s="30" t="str">
        <f t="array" ref="I30">IF($A30="","",(XLOOKUP($A30,'Shipment Setup'!$A:$A,'Shipment Setup'!$Q:$Q,0)+SUMIFS('Operations Ledger'!$E:$E,'Operations Ledger'!$A:$A,$A30,'Operations Ledger'!$B:$B,"Clenny",'Operations Ledger'!$F:$F,"Yes"))+((F30-(XLOOKUP($A30,'Shipment Setup'!$A:$A,'Shipment Setup'!$N:$N,0)+SUMIFS('Operations Ledger'!$E:$E,'Operations Ledger'!$A:$A,$A30,'Operations Ledger'!$F:$F,"Yes")))*IF((XLOOKUP($A30,'Shipment Setup'!$A:$A,'Shipment Setup'!$Q:$Q,0)+SUMIFS('Operations Ledger'!$E:$E,'Operations Ledger'!$A:$A,$A30,'Operations Ledger'!$B:$B,"Clenny",'Operations Ledger'!$F:$F,"Yes")+XLOOKUP($A30,'Shipment Setup'!$A:$A,'Shipment Setup'!$R:$R,0)+SUMIFS('Operations Ledger'!$E:$E,'Operations Ledger'!$A:$A,$A30,'Operations Ledger'!$B:$B,"Clanny",'Operations Ledger'!$F:$F,"Yes"))=0,0,(XLOOKUP($A30,'Shipment Setup'!$A:$A,'Shipment Setup'!$Q:$Q,0)+SUMIFS('Operations Ledger'!$E:$E,'Operations Ledger'!$A:$A,$A30,'Operations Ledger'!$B:$B,"Clenny",'Operations Ledger'!$F:$F,"Yes"))/(XLOOKUP($A30,'Shipment Setup'!$A:$A,'Shipment Setup'!$Q:$Q,0)+SUMIFS('Operations Ledger'!$E:$E,'Operations Ledger'!$A:$A,$A30,'Operations Ledger'!$B:$B,"Clenny",'Operations Ledger'!$F:$F,"Yes")+XLOOKUP($A30,'Shipment Setup'!$A:$A,'Shipment Setup'!$R:$R,0)+SUMIFS('Operations Ledger'!$E:$E,'Operations Ledger'!$A:$A,$A30,'Operations Ledger'!$B:$B,"Clanny",'Operations Ledger'!$F:$F,"Yes"))))-SUMIFS('Sales Ledger'!$K:$K,'Sales Ledger'!$A:$A,$A30,'Sales Ledger'!$L:$L,"Clenny"))</f>
        <v/>
      </c>
      <c r="J30" s="30" t="str">
        <f t="array" ref="J30">IF($A30="","",(XLOOKUP($A30,'Shipment Setup'!$A:$A,'Shipment Setup'!$R:$R,0)+SUMIFS('Operations Ledger'!$E:$E,'Operations Ledger'!$A:$A,$A30,'Operations Ledger'!$B:$B,"Clanny",'Operations Ledger'!$F:$F,"Yes"))+((F30-(XLOOKUP($A30,'Shipment Setup'!$A:$A,'Shipment Setup'!$N:$N,0)+SUMIFS('Operations Ledger'!$E:$E,'Operations Ledger'!$A:$A,$A30,'Operations Ledger'!$F:$F,"Yes")))*IF((XLOOKUP($A30,'Shipment Setup'!$A:$A,'Shipment Setup'!$Q:$Q,0)+SUMIFS('Operations Ledger'!$E:$E,'Operations Ledger'!$A:$A,$A30,'Operations Ledger'!$B:$B,"Clenny",'Operations Ledger'!$F:$F,"Yes")+XLOOKUP($A30,'Shipment Setup'!$A:$A,'Shipment Setup'!$R:$R,0)+SUMIFS('Operations Ledger'!$E:$E,'Operations Ledger'!$A:$A,$A30,'Operations Ledger'!$B:$B,"Clanny",'Operations Ledger'!$F:$F,"Yes"))=0,0,(XLOOKUP($A30,'Shipment Setup'!$A:$A,'Shipment Setup'!$R:$R,0)+SUMIFS('Operations Ledger'!$E:$E,'Operations Ledger'!$A:$A,$A30,'Operations Ledger'!$B:$B,"Clanny",'Operations Ledger'!$F:$F,"Yes"))/(XLOOKUP($A30,'Shipment Setup'!$A:$A,'Shipment Setup'!$Q:$Q,0)+SUMIFS('Operations Ledger'!$E:$E,'Operations Ledger'!$A:$A,$A30,'Operations Ledger'!$B:$B,"Clenny",'Operations Ledger'!$F:$F,"Yes")+XLOOKUP($A30,'Shipment Setup'!$A:$A,'Shipment Setup'!$R:$R,0)+SUMIFS('Operations Ledger'!$E:$E,'Operations Ledger'!$A:$A,$A30,'Operations Ledger'!$B:$B,"Clanny",'Operations Ledger'!$F:$F,"Yes"))))-SUMIFS('Sales Ledger'!$K:$K,'Sales Ledger'!$A:$A,$A30,'Sales Ledger'!$L:$L,"Clanny"))</f>
        <v/>
      </c>
      <c r="K30" s="30" t="str">
        <f t="array" ref="K30">IF($A30="","",XLOOKUP($A30,'Shipment Setup'!$A:$A,'Shipment Setup'!$S:$S,""))</f>
        <v/>
      </c>
    </row>
    <row r="31" ht="14.25" customHeight="1">
      <c r="A31" s="30" t="str">
        <f>IF('Shipment Setup'!A31="","",'Shipment Setup'!A31)</f>
        <v/>
      </c>
      <c r="B31" s="30" t="str">
        <f t="array" ref="B31">IF($A31="","",XLOOKUP($A31,'Shipment Setup'!$A:$A,'Shipment Setup'!$B:$B,""))</f>
        <v/>
      </c>
      <c r="C31" s="30" t="str">
        <f t="array" ref="C31">IF($A31="","",XLOOKUP($A31,'Shipment Setup'!$A:$A,'Shipment Setup'!$C:$C,""))</f>
        <v/>
      </c>
      <c r="D31" s="30" t="str">
        <f t="array" ref="D31">IF($A31="","",XLOOKUP($A31,'Shipment Setup'!$A:$A,'Shipment Setup'!$N:$N,0))</f>
        <v/>
      </c>
      <c r="E31" s="30" t="str">
        <f t="array" ref="E31">IF($A31="","",XLOOKUP($A31,'Shipment Setup'!$A:$A,'Shipment Setup'!$P:$P,0))</f>
        <v/>
      </c>
      <c r="F31" s="30" t="str">
        <f>IF($A31="","",SUMIFS('Sales Ledger'!$K:$K,'Sales Ledger'!$A:$A,$A31))</f>
        <v/>
      </c>
      <c r="G31" s="30" t="str">
        <f>IF($A31="","",SUMIFS('Sales Ledger'!$I:$I,'Sales Ledger'!$A:$A,$A31))</f>
        <v/>
      </c>
      <c r="H31" s="30" t="str">
        <f t="array" ref="H31">IF($A31="","",MAX(0,XLOOKUP($A31,'Shipment Setup'!$A:$A,'Shipment Setup'!$L:$L,0)-G31))</f>
        <v/>
      </c>
      <c r="I31" s="30" t="str">
        <f t="array" ref="I31">IF($A31="","",(XLOOKUP($A31,'Shipment Setup'!$A:$A,'Shipment Setup'!$Q:$Q,0)+SUMIFS('Operations Ledger'!$E:$E,'Operations Ledger'!$A:$A,$A31,'Operations Ledger'!$B:$B,"Clenny",'Operations Ledger'!$F:$F,"Yes"))+((F31-(XLOOKUP($A31,'Shipment Setup'!$A:$A,'Shipment Setup'!$N:$N,0)+SUMIFS('Operations Ledger'!$E:$E,'Operations Ledger'!$A:$A,$A31,'Operations Ledger'!$F:$F,"Yes")))*IF((XLOOKUP($A31,'Shipment Setup'!$A:$A,'Shipment Setup'!$Q:$Q,0)+SUMIFS('Operations Ledger'!$E:$E,'Operations Ledger'!$A:$A,$A31,'Operations Ledger'!$B:$B,"Clenny",'Operations Ledger'!$F:$F,"Yes")+XLOOKUP($A31,'Shipment Setup'!$A:$A,'Shipment Setup'!$R:$R,0)+SUMIFS('Operations Ledger'!$E:$E,'Operations Ledger'!$A:$A,$A31,'Operations Ledger'!$B:$B,"Clanny",'Operations Ledger'!$F:$F,"Yes"))=0,0,(XLOOKUP($A31,'Shipment Setup'!$A:$A,'Shipment Setup'!$Q:$Q,0)+SUMIFS('Operations Ledger'!$E:$E,'Operations Ledger'!$A:$A,$A31,'Operations Ledger'!$B:$B,"Clenny",'Operations Ledger'!$F:$F,"Yes"))/(XLOOKUP($A31,'Shipment Setup'!$A:$A,'Shipment Setup'!$Q:$Q,0)+SUMIFS('Operations Ledger'!$E:$E,'Operations Ledger'!$A:$A,$A31,'Operations Ledger'!$B:$B,"Clenny",'Operations Ledger'!$F:$F,"Yes")+XLOOKUP($A31,'Shipment Setup'!$A:$A,'Shipment Setup'!$R:$R,0)+SUMIFS('Operations Ledger'!$E:$E,'Operations Ledger'!$A:$A,$A31,'Operations Ledger'!$B:$B,"Clanny",'Operations Ledger'!$F:$F,"Yes"))))-SUMIFS('Sales Ledger'!$K:$K,'Sales Ledger'!$A:$A,$A31,'Sales Ledger'!$L:$L,"Clenny"))</f>
        <v/>
      </c>
      <c r="J31" s="30" t="str">
        <f t="array" ref="J31">IF($A31="","",(XLOOKUP($A31,'Shipment Setup'!$A:$A,'Shipment Setup'!$R:$R,0)+SUMIFS('Operations Ledger'!$E:$E,'Operations Ledger'!$A:$A,$A31,'Operations Ledger'!$B:$B,"Clanny",'Operations Ledger'!$F:$F,"Yes"))+((F31-(XLOOKUP($A31,'Shipment Setup'!$A:$A,'Shipment Setup'!$N:$N,0)+SUMIFS('Operations Ledger'!$E:$E,'Operations Ledger'!$A:$A,$A31,'Operations Ledger'!$F:$F,"Yes")))*IF((XLOOKUP($A31,'Shipment Setup'!$A:$A,'Shipment Setup'!$Q:$Q,0)+SUMIFS('Operations Ledger'!$E:$E,'Operations Ledger'!$A:$A,$A31,'Operations Ledger'!$B:$B,"Clenny",'Operations Ledger'!$F:$F,"Yes")+XLOOKUP($A31,'Shipment Setup'!$A:$A,'Shipment Setup'!$R:$R,0)+SUMIFS('Operations Ledger'!$E:$E,'Operations Ledger'!$A:$A,$A31,'Operations Ledger'!$B:$B,"Clanny",'Operations Ledger'!$F:$F,"Yes"))=0,0,(XLOOKUP($A31,'Shipment Setup'!$A:$A,'Shipment Setup'!$R:$R,0)+SUMIFS('Operations Ledger'!$E:$E,'Operations Ledger'!$A:$A,$A31,'Operations Ledger'!$B:$B,"Clanny",'Operations Ledger'!$F:$F,"Yes"))/(XLOOKUP($A31,'Shipment Setup'!$A:$A,'Shipment Setup'!$Q:$Q,0)+SUMIFS('Operations Ledger'!$E:$E,'Operations Ledger'!$A:$A,$A31,'Operations Ledger'!$B:$B,"Clenny",'Operations Ledger'!$F:$F,"Yes")+XLOOKUP($A31,'Shipment Setup'!$A:$A,'Shipment Setup'!$R:$R,0)+SUMIFS('Operations Ledger'!$E:$E,'Operations Ledger'!$A:$A,$A31,'Operations Ledger'!$B:$B,"Clanny",'Operations Ledger'!$F:$F,"Yes"))))-SUMIFS('Sales Ledger'!$K:$K,'Sales Ledger'!$A:$A,$A31,'Sales Ledger'!$L:$L,"Clanny"))</f>
        <v/>
      </c>
      <c r="K31" s="30" t="str">
        <f t="array" ref="K31">IF($A31="","",XLOOKUP($A31,'Shipment Setup'!$A:$A,'Shipment Setup'!$S:$S,""))</f>
        <v/>
      </c>
    </row>
    <row r="32" ht="14.25" customHeight="1">
      <c r="A32" s="30" t="str">
        <f>IF('Shipment Setup'!A32="","",'Shipment Setup'!A32)</f>
        <v/>
      </c>
      <c r="B32" s="30" t="str">
        <f t="array" ref="B32">IF($A32="","",XLOOKUP($A32,'Shipment Setup'!$A:$A,'Shipment Setup'!$B:$B,""))</f>
        <v/>
      </c>
      <c r="C32" s="30" t="str">
        <f t="array" ref="C32">IF($A32="","",XLOOKUP($A32,'Shipment Setup'!$A:$A,'Shipment Setup'!$C:$C,""))</f>
        <v/>
      </c>
      <c r="D32" s="30" t="str">
        <f t="array" ref="D32">IF($A32="","",XLOOKUP($A32,'Shipment Setup'!$A:$A,'Shipment Setup'!$N:$N,0))</f>
        <v/>
      </c>
      <c r="E32" s="30" t="str">
        <f t="array" ref="E32">IF($A32="","",XLOOKUP($A32,'Shipment Setup'!$A:$A,'Shipment Setup'!$P:$P,0))</f>
        <v/>
      </c>
      <c r="F32" s="30" t="str">
        <f>IF($A32="","",SUMIFS('Sales Ledger'!$K:$K,'Sales Ledger'!$A:$A,$A32))</f>
        <v/>
      </c>
      <c r="G32" s="30" t="str">
        <f>IF($A32="","",SUMIFS('Sales Ledger'!$I:$I,'Sales Ledger'!$A:$A,$A32))</f>
        <v/>
      </c>
      <c r="H32" s="30" t="str">
        <f t="array" ref="H32">IF($A32="","",MAX(0,XLOOKUP($A32,'Shipment Setup'!$A:$A,'Shipment Setup'!$L:$L,0)-G32))</f>
        <v/>
      </c>
      <c r="I32" s="30" t="str">
        <f t="array" ref="I32">IF($A32="","",(XLOOKUP($A32,'Shipment Setup'!$A:$A,'Shipment Setup'!$Q:$Q,0)+SUMIFS('Operations Ledger'!$E:$E,'Operations Ledger'!$A:$A,$A32,'Operations Ledger'!$B:$B,"Clenny",'Operations Ledger'!$F:$F,"Yes"))+((F32-(XLOOKUP($A32,'Shipment Setup'!$A:$A,'Shipment Setup'!$N:$N,0)+SUMIFS('Operations Ledger'!$E:$E,'Operations Ledger'!$A:$A,$A32,'Operations Ledger'!$F:$F,"Yes")))*IF((XLOOKUP($A32,'Shipment Setup'!$A:$A,'Shipment Setup'!$Q:$Q,0)+SUMIFS('Operations Ledger'!$E:$E,'Operations Ledger'!$A:$A,$A32,'Operations Ledger'!$B:$B,"Clenny",'Operations Ledger'!$F:$F,"Yes")+XLOOKUP($A32,'Shipment Setup'!$A:$A,'Shipment Setup'!$R:$R,0)+SUMIFS('Operations Ledger'!$E:$E,'Operations Ledger'!$A:$A,$A32,'Operations Ledger'!$B:$B,"Clanny",'Operations Ledger'!$F:$F,"Yes"))=0,0,(XLOOKUP($A32,'Shipment Setup'!$A:$A,'Shipment Setup'!$Q:$Q,0)+SUMIFS('Operations Ledger'!$E:$E,'Operations Ledger'!$A:$A,$A32,'Operations Ledger'!$B:$B,"Clenny",'Operations Ledger'!$F:$F,"Yes"))/(XLOOKUP($A32,'Shipment Setup'!$A:$A,'Shipment Setup'!$Q:$Q,0)+SUMIFS('Operations Ledger'!$E:$E,'Operations Ledger'!$A:$A,$A32,'Operations Ledger'!$B:$B,"Clenny",'Operations Ledger'!$F:$F,"Yes")+XLOOKUP($A32,'Shipment Setup'!$A:$A,'Shipment Setup'!$R:$R,0)+SUMIFS('Operations Ledger'!$E:$E,'Operations Ledger'!$A:$A,$A32,'Operations Ledger'!$B:$B,"Clanny",'Operations Ledger'!$F:$F,"Yes"))))-SUMIFS('Sales Ledger'!$K:$K,'Sales Ledger'!$A:$A,$A32,'Sales Ledger'!$L:$L,"Clenny"))</f>
        <v/>
      </c>
      <c r="J32" s="30" t="str">
        <f t="array" ref="J32">IF($A32="","",(XLOOKUP($A32,'Shipment Setup'!$A:$A,'Shipment Setup'!$R:$R,0)+SUMIFS('Operations Ledger'!$E:$E,'Operations Ledger'!$A:$A,$A32,'Operations Ledger'!$B:$B,"Clanny",'Operations Ledger'!$F:$F,"Yes"))+((F32-(XLOOKUP($A32,'Shipment Setup'!$A:$A,'Shipment Setup'!$N:$N,0)+SUMIFS('Operations Ledger'!$E:$E,'Operations Ledger'!$A:$A,$A32,'Operations Ledger'!$F:$F,"Yes")))*IF((XLOOKUP($A32,'Shipment Setup'!$A:$A,'Shipment Setup'!$Q:$Q,0)+SUMIFS('Operations Ledger'!$E:$E,'Operations Ledger'!$A:$A,$A32,'Operations Ledger'!$B:$B,"Clenny",'Operations Ledger'!$F:$F,"Yes")+XLOOKUP($A32,'Shipment Setup'!$A:$A,'Shipment Setup'!$R:$R,0)+SUMIFS('Operations Ledger'!$E:$E,'Operations Ledger'!$A:$A,$A32,'Operations Ledger'!$B:$B,"Clanny",'Operations Ledger'!$F:$F,"Yes"))=0,0,(XLOOKUP($A32,'Shipment Setup'!$A:$A,'Shipment Setup'!$R:$R,0)+SUMIFS('Operations Ledger'!$E:$E,'Operations Ledger'!$A:$A,$A32,'Operations Ledger'!$B:$B,"Clanny",'Operations Ledger'!$F:$F,"Yes"))/(XLOOKUP($A32,'Shipment Setup'!$A:$A,'Shipment Setup'!$Q:$Q,0)+SUMIFS('Operations Ledger'!$E:$E,'Operations Ledger'!$A:$A,$A32,'Operations Ledger'!$B:$B,"Clenny",'Operations Ledger'!$F:$F,"Yes")+XLOOKUP($A32,'Shipment Setup'!$A:$A,'Shipment Setup'!$R:$R,0)+SUMIFS('Operations Ledger'!$E:$E,'Operations Ledger'!$A:$A,$A32,'Operations Ledger'!$B:$B,"Clanny",'Operations Ledger'!$F:$F,"Yes"))))-SUMIFS('Sales Ledger'!$K:$K,'Sales Ledger'!$A:$A,$A32,'Sales Ledger'!$L:$L,"Clanny"))</f>
        <v/>
      </c>
      <c r="K32" s="30" t="str">
        <f t="array" ref="K32">IF($A32="","",XLOOKUP($A32,'Shipment Setup'!$A:$A,'Shipment Setup'!$S:$S,""))</f>
        <v/>
      </c>
    </row>
    <row r="33" ht="14.25" customHeight="1">
      <c r="A33" s="30" t="str">
        <f>IF('Shipment Setup'!A33="","",'Shipment Setup'!A33)</f>
        <v/>
      </c>
      <c r="B33" s="30" t="str">
        <f t="array" ref="B33">IF($A33="","",XLOOKUP($A33,'Shipment Setup'!$A:$A,'Shipment Setup'!$B:$B,""))</f>
        <v/>
      </c>
      <c r="C33" s="30" t="str">
        <f t="array" ref="C33">IF($A33="","",XLOOKUP($A33,'Shipment Setup'!$A:$A,'Shipment Setup'!$C:$C,""))</f>
        <v/>
      </c>
      <c r="D33" s="30" t="str">
        <f t="array" ref="D33">IF($A33="","",XLOOKUP($A33,'Shipment Setup'!$A:$A,'Shipment Setup'!$N:$N,0))</f>
        <v/>
      </c>
      <c r="E33" s="30" t="str">
        <f t="array" ref="E33">IF($A33="","",XLOOKUP($A33,'Shipment Setup'!$A:$A,'Shipment Setup'!$P:$P,0))</f>
        <v/>
      </c>
      <c r="F33" s="30" t="str">
        <f>IF($A33="","",SUMIFS('Sales Ledger'!$K:$K,'Sales Ledger'!$A:$A,$A33))</f>
        <v/>
      </c>
      <c r="G33" s="30" t="str">
        <f>IF($A33="","",SUMIFS('Sales Ledger'!$I:$I,'Sales Ledger'!$A:$A,$A33))</f>
        <v/>
      </c>
      <c r="H33" s="30" t="str">
        <f t="array" ref="H33">IF($A33="","",MAX(0,XLOOKUP($A33,'Shipment Setup'!$A:$A,'Shipment Setup'!$L:$L,0)-G33))</f>
        <v/>
      </c>
      <c r="I33" s="30" t="str">
        <f t="array" ref="I33">IF($A33="","",(XLOOKUP($A33,'Shipment Setup'!$A:$A,'Shipment Setup'!$Q:$Q,0)+SUMIFS('Operations Ledger'!$E:$E,'Operations Ledger'!$A:$A,$A33,'Operations Ledger'!$B:$B,"Clenny",'Operations Ledger'!$F:$F,"Yes"))+((F33-(XLOOKUP($A33,'Shipment Setup'!$A:$A,'Shipment Setup'!$N:$N,0)+SUMIFS('Operations Ledger'!$E:$E,'Operations Ledger'!$A:$A,$A33,'Operations Ledger'!$F:$F,"Yes")))*IF((XLOOKUP($A33,'Shipment Setup'!$A:$A,'Shipment Setup'!$Q:$Q,0)+SUMIFS('Operations Ledger'!$E:$E,'Operations Ledger'!$A:$A,$A33,'Operations Ledger'!$B:$B,"Clenny",'Operations Ledger'!$F:$F,"Yes")+XLOOKUP($A33,'Shipment Setup'!$A:$A,'Shipment Setup'!$R:$R,0)+SUMIFS('Operations Ledger'!$E:$E,'Operations Ledger'!$A:$A,$A33,'Operations Ledger'!$B:$B,"Clanny",'Operations Ledger'!$F:$F,"Yes"))=0,0,(XLOOKUP($A33,'Shipment Setup'!$A:$A,'Shipment Setup'!$Q:$Q,0)+SUMIFS('Operations Ledger'!$E:$E,'Operations Ledger'!$A:$A,$A33,'Operations Ledger'!$B:$B,"Clenny",'Operations Ledger'!$F:$F,"Yes"))/(XLOOKUP($A33,'Shipment Setup'!$A:$A,'Shipment Setup'!$Q:$Q,0)+SUMIFS('Operations Ledger'!$E:$E,'Operations Ledger'!$A:$A,$A33,'Operations Ledger'!$B:$B,"Clenny",'Operations Ledger'!$F:$F,"Yes")+XLOOKUP($A33,'Shipment Setup'!$A:$A,'Shipment Setup'!$R:$R,0)+SUMIFS('Operations Ledger'!$E:$E,'Operations Ledger'!$A:$A,$A33,'Operations Ledger'!$B:$B,"Clanny",'Operations Ledger'!$F:$F,"Yes"))))-SUMIFS('Sales Ledger'!$K:$K,'Sales Ledger'!$A:$A,$A33,'Sales Ledger'!$L:$L,"Clenny"))</f>
        <v/>
      </c>
      <c r="J33" s="30" t="str">
        <f t="array" ref="J33">IF($A33="","",(XLOOKUP($A33,'Shipment Setup'!$A:$A,'Shipment Setup'!$R:$R,0)+SUMIFS('Operations Ledger'!$E:$E,'Operations Ledger'!$A:$A,$A33,'Operations Ledger'!$B:$B,"Clanny",'Operations Ledger'!$F:$F,"Yes"))+((F33-(XLOOKUP($A33,'Shipment Setup'!$A:$A,'Shipment Setup'!$N:$N,0)+SUMIFS('Operations Ledger'!$E:$E,'Operations Ledger'!$A:$A,$A33,'Operations Ledger'!$F:$F,"Yes")))*IF((XLOOKUP($A33,'Shipment Setup'!$A:$A,'Shipment Setup'!$Q:$Q,0)+SUMIFS('Operations Ledger'!$E:$E,'Operations Ledger'!$A:$A,$A33,'Operations Ledger'!$B:$B,"Clenny",'Operations Ledger'!$F:$F,"Yes")+XLOOKUP($A33,'Shipment Setup'!$A:$A,'Shipment Setup'!$R:$R,0)+SUMIFS('Operations Ledger'!$E:$E,'Operations Ledger'!$A:$A,$A33,'Operations Ledger'!$B:$B,"Clanny",'Operations Ledger'!$F:$F,"Yes"))=0,0,(XLOOKUP($A33,'Shipment Setup'!$A:$A,'Shipment Setup'!$R:$R,0)+SUMIFS('Operations Ledger'!$E:$E,'Operations Ledger'!$A:$A,$A33,'Operations Ledger'!$B:$B,"Clanny",'Operations Ledger'!$F:$F,"Yes"))/(XLOOKUP($A33,'Shipment Setup'!$A:$A,'Shipment Setup'!$Q:$Q,0)+SUMIFS('Operations Ledger'!$E:$E,'Operations Ledger'!$A:$A,$A33,'Operations Ledger'!$B:$B,"Clenny",'Operations Ledger'!$F:$F,"Yes")+XLOOKUP($A33,'Shipment Setup'!$A:$A,'Shipment Setup'!$R:$R,0)+SUMIFS('Operations Ledger'!$E:$E,'Operations Ledger'!$A:$A,$A33,'Operations Ledger'!$B:$B,"Clanny",'Operations Ledger'!$F:$F,"Yes"))))-SUMIFS('Sales Ledger'!$K:$K,'Sales Ledger'!$A:$A,$A33,'Sales Ledger'!$L:$L,"Clanny"))</f>
        <v/>
      </c>
      <c r="K33" s="30" t="str">
        <f t="array" ref="K33">IF($A33="","",XLOOKUP($A33,'Shipment Setup'!$A:$A,'Shipment Setup'!$S:$S,""))</f>
        <v/>
      </c>
    </row>
    <row r="34" ht="14.25" customHeight="1">
      <c r="A34" s="30" t="str">
        <f>IF('Shipment Setup'!A34="","",'Shipment Setup'!A34)</f>
        <v/>
      </c>
      <c r="B34" s="30" t="str">
        <f t="array" ref="B34">IF($A34="","",XLOOKUP($A34,'Shipment Setup'!$A:$A,'Shipment Setup'!$B:$B,""))</f>
        <v/>
      </c>
      <c r="C34" s="30" t="str">
        <f t="array" ref="C34">IF($A34="","",XLOOKUP($A34,'Shipment Setup'!$A:$A,'Shipment Setup'!$C:$C,""))</f>
        <v/>
      </c>
      <c r="D34" s="30" t="str">
        <f t="array" ref="D34">IF($A34="","",XLOOKUP($A34,'Shipment Setup'!$A:$A,'Shipment Setup'!$N:$N,0))</f>
        <v/>
      </c>
      <c r="E34" s="30" t="str">
        <f t="array" ref="E34">IF($A34="","",XLOOKUP($A34,'Shipment Setup'!$A:$A,'Shipment Setup'!$P:$P,0))</f>
        <v/>
      </c>
      <c r="F34" s="30" t="str">
        <f>IF($A34="","",SUMIFS('Sales Ledger'!$K:$K,'Sales Ledger'!$A:$A,$A34))</f>
        <v/>
      </c>
      <c r="G34" s="30" t="str">
        <f>IF($A34="","",SUMIFS('Sales Ledger'!$I:$I,'Sales Ledger'!$A:$A,$A34))</f>
        <v/>
      </c>
      <c r="H34" s="30" t="str">
        <f t="array" ref="H34">IF($A34="","",MAX(0,XLOOKUP($A34,'Shipment Setup'!$A:$A,'Shipment Setup'!$L:$L,0)-G34))</f>
        <v/>
      </c>
      <c r="I34" s="30" t="str">
        <f t="array" ref="I34">IF($A34="","",(XLOOKUP($A34,'Shipment Setup'!$A:$A,'Shipment Setup'!$Q:$Q,0)+SUMIFS('Operations Ledger'!$E:$E,'Operations Ledger'!$A:$A,$A34,'Operations Ledger'!$B:$B,"Clenny",'Operations Ledger'!$F:$F,"Yes"))+((F34-(XLOOKUP($A34,'Shipment Setup'!$A:$A,'Shipment Setup'!$N:$N,0)+SUMIFS('Operations Ledger'!$E:$E,'Operations Ledger'!$A:$A,$A34,'Operations Ledger'!$F:$F,"Yes")))*IF((XLOOKUP($A34,'Shipment Setup'!$A:$A,'Shipment Setup'!$Q:$Q,0)+SUMIFS('Operations Ledger'!$E:$E,'Operations Ledger'!$A:$A,$A34,'Operations Ledger'!$B:$B,"Clenny",'Operations Ledger'!$F:$F,"Yes")+XLOOKUP($A34,'Shipment Setup'!$A:$A,'Shipment Setup'!$R:$R,0)+SUMIFS('Operations Ledger'!$E:$E,'Operations Ledger'!$A:$A,$A34,'Operations Ledger'!$B:$B,"Clanny",'Operations Ledger'!$F:$F,"Yes"))=0,0,(XLOOKUP($A34,'Shipment Setup'!$A:$A,'Shipment Setup'!$Q:$Q,0)+SUMIFS('Operations Ledger'!$E:$E,'Operations Ledger'!$A:$A,$A34,'Operations Ledger'!$B:$B,"Clenny",'Operations Ledger'!$F:$F,"Yes"))/(XLOOKUP($A34,'Shipment Setup'!$A:$A,'Shipment Setup'!$Q:$Q,0)+SUMIFS('Operations Ledger'!$E:$E,'Operations Ledger'!$A:$A,$A34,'Operations Ledger'!$B:$B,"Clenny",'Operations Ledger'!$F:$F,"Yes")+XLOOKUP($A34,'Shipment Setup'!$A:$A,'Shipment Setup'!$R:$R,0)+SUMIFS('Operations Ledger'!$E:$E,'Operations Ledger'!$A:$A,$A34,'Operations Ledger'!$B:$B,"Clanny",'Operations Ledger'!$F:$F,"Yes"))))-SUMIFS('Sales Ledger'!$K:$K,'Sales Ledger'!$A:$A,$A34,'Sales Ledger'!$L:$L,"Clenny"))</f>
        <v/>
      </c>
      <c r="J34" s="30" t="str">
        <f t="array" ref="J34">IF($A34="","",(XLOOKUP($A34,'Shipment Setup'!$A:$A,'Shipment Setup'!$R:$R,0)+SUMIFS('Operations Ledger'!$E:$E,'Operations Ledger'!$A:$A,$A34,'Operations Ledger'!$B:$B,"Clanny",'Operations Ledger'!$F:$F,"Yes"))+((F34-(XLOOKUP($A34,'Shipment Setup'!$A:$A,'Shipment Setup'!$N:$N,0)+SUMIFS('Operations Ledger'!$E:$E,'Operations Ledger'!$A:$A,$A34,'Operations Ledger'!$F:$F,"Yes")))*IF((XLOOKUP($A34,'Shipment Setup'!$A:$A,'Shipment Setup'!$Q:$Q,0)+SUMIFS('Operations Ledger'!$E:$E,'Operations Ledger'!$A:$A,$A34,'Operations Ledger'!$B:$B,"Clenny",'Operations Ledger'!$F:$F,"Yes")+XLOOKUP($A34,'Shipment Setup'!$A:$A,'Shipment Setup'!$R:$R,0)+SUMIFS('Operations Ledger'!$E:$E,'Operations Ledger'!$A:$A,$A34,'Operations Ledger'!$B:$B,"Clanny",'Operations Ledger'!$F:$F,"Yes"))=0,0,(XLOOKUP($A34,'Shipment Setup'!$A:$A,'Shipment Setup'!$R:$R,0)+SUMIFS('Operations Ledger'!$E:$E,'Operations Ledger'!$A:$A,$A34,'Operations Ledger'!$B:$B,"Clanny",'Operations Ledger'!$F:$F,"Yes"))/(XLOOKUP($A34,'Shipment Setup'!$A:$A,'Shipment Setup'!$Q:$Q,0)+SUMIFS('Operations Ledger'!$E:$E,'Operations Ledger'!$A:$A,$A34,'Operations Ledger'!$B:$B,"Clenny",'Operations Ledger'!$F:$F,"Yes")+XLOOKUP($A34,'Shipment Setup'!$A:$A,'Shipment Setup'!$R:$R,0)+SUMIFS('Operations Ledger'!$E:$E,'Operations Ledger'!$A:$A,$A34,'Operations Ledger'!$B:$B,"Clanny",'Operations Ledger'!$F:$F,"Yes"))))-SUMIFS('Sales Ledger'!$K:$K,'Sales Ledger'!$A:$A,$A34,'Sales Ledger'!$L:$L,"Clanny"))</f>
        <v/>
      </c>
      <c r="K34" s="30" t="str">
        <f t="array" ref="K34">IF($A34="","",XLOOKUP($A34,'Shipment Setup'!$A:$A,'Shipment Setup'!$S:$S,""))</f>
        <v/>
      </c>
    </row>
    <row r="35" ht="14.25" customHeight="1">
      <c r="A35" s="30" t="str">
        <f>IF('Shipment Setup'!A35="","",'Shipment Setup'!A35)</f>
        <v/>
      </c>
      <c r="B35" s="30" t="str">
        <f t="array" ref="B35">IF($A35="","",XLOOKUP($A35,'Shipment Setup'!$A:$A,'Shipment Setup'!$B:$B,""))</f>
        <v/>
      </c>
      <c r="C35" s="30" t="str">
        <f t="array" ref="C35">IF($A35="","",XLOOKUP($A35,'Shipment Setup'!$A:$A,'Shipment Setup'!$C:$C,""))</f>
        <v/>
      </c>
      <c r="D35" s="30" t="str">
        <f t="array" ref="D35">IF($A35="","",XLOOKUP($A35,'Shipment Setup'!$A:$A,'Shipment Setup'!$N:$N,0))</f>
        <v/>
      </c>
      <c r="E35" s="30" t="str">
        <f t="array" ref="E35">IF($A35="","",XLOOKUP($A35,'Shipment Setup'!$A:$A,'Shipment Setup'!$P:$P,0))</f>
        <v/>
      </c>
      <c r="F35" s="30" t="str">
        <f>IF($A35="","",SUMIFS('Sales Ledger'!$K:$K,'Sales Ledger'!$A:$A,$A35))</f>
        <v/>
      </c>
      <c r="G35" s="30" t="str">
        <f>IF($A35="","",SUMIFS('Sales Ledger'!$I:$I,'Sales Ledger'!$A:$A,$A35))</f>
        <v/>
      </c>
      <c r="H35" s="30" t="str">
        <f t="array" ref="H35">IF($A35="","",MAX(0,XLOOKUP($A35,'Shipment Setup'!$A:$A,'Shipment Setup'!$L:$L,0)-G35))</f>
        <v/>
      </c>
      <c r="I35" s="30" t="str">
        <f t="array" ref="I35">IF($A35="","",(XLOOKUP($A35,'Shipment Setup'!$A:$A,'Shipment Setup'!$Q:$Q,0)+SUMIFS('Operations Ledger'!$E:$E,'Operations Ledger'!$A:$A,$A35,'Operations Ledger'!$B:$B,"Clenny",'Operations Ledger'!$F:$F,"Yes"))+((F35-(XLOOKUP($A35,'Shipment Setup'!$A:$A,'Shipment Setup'!$N:$N,0)+SUMIFS('Operations Ledger'!$E:$E,'Operations Ledger'!$A:$A,$A35,'Operations Ledger'!$F:$F,"Yes")))*IF((XLOOKUP($A35,'Shipment Setup'!$A:$A,'Shipment Setup'!$Q:$Q,0)+SUMIFS('Operations Ledger'!$E:$E,'Operations Ledger'!$A:$A,$A35,'Operations Ledger'!$B:$B,"Clenny",'Operations Ledger'!$F:$F,"Yes")+XLOOKUP($A35,'Shipment Setup'!$A:$A,'Shipment Setup'!$R:$R,0)+SUMIFS('Operations Ledger'!$E:$E,'Operations Ledger'!$A:$A,$A35,'Operations Ledger'!$B:$B,"Clanny",'Operations Ledger'!$F:$F,"Yes"))=0,0,(XLOOKUP($A35,'Shipment Setup'!$A:$A,'Shipment Setup'!$Q:$Q,0)+SUMIFS('Operations Ledger'!$E:$E,'Operations Ledger'!$A:$A,$A35,'Operations Ledger'!$B:$B,"Clenny",'Operations Ledger'!$F:$F,"Yes"))/(XLOOKUP($A35,'Shipment Setup'!$A:$A,'Shipment Setup'!$Q:$Q,0)+SUMIFS('Operations Ledger'!$E:$E,'Operations Ledger'!$A:$A,$A35,'Operations Ledger'!$B:$B,"Clenny",'Operations Ledger'!$F:$F,"Yes")+XLOOKUP($A35,'Shipment Setup'!$A:$A,'Shipment Setup'!$R:$R,0)+SUMIFS('Operations Ledger'!$E:$E,'Operations Ledger'!$A:$A,$A35,'Operations Ledger'!$B:$B,"Clanny",'Operations Ledger'!$F:$F,"Yes"))))-SUMIFS('Sales Ledger'!$K:$K,'Sales Ledger'!$A:$A,$A35,'Sales Ledger'!$L:$L,"Clenny"))</f>
        <v/>
      </c>
      <c r="J35" s="30" t="str">
        <f t="array" ref="J35">IF($A35="","",(XLOOKUP($A35,'Shipment Setup'!$A:$A,'Shipment Setup'!$R:$R,0)+SUMIFS('Operations Ledger'!$E:$E,'Operations Ledger'!$A:$A,$A35,'Operations Ledger'!$B:$B,"Clanny",'Operations Ledger'!$F:$F,"Yes"))+((F35-(XLOOKUP($A35,'Shipment Setup'!$A:$A,'Shipment Setup'!$N:$N,0)+SUMIFS('Operations Ledger'!$E:$E,'Operations Ledger'!$A:$A,$A35,'Operations Ledger'!$F:$F,"Yes")))*IF((XLOOKUP($A35,'Shipment Setup'!$A:$A,'Shipment Setup'!$Q:$Q,0)+SUMIFS('Operations Ledger'!$E:$E,'Operations Ledger'!$A:$A,$A35,'Operations Ledger'!$B:$B,"Clenny",'Operations Ledger'!$F:$F,"Yes")+XLOOKUP($A35,'Shipment Setup'!$A:$A,'Shipment Setup'!$R:$R,0)+SUMIFS('Operations Ledger'!$E:$E,'Operations Ledger'!$A:$A,$A35,'Operations Ledger'!$B:$B,"Clanny",'Operations Ledger'!$F:$F,"Yes"))=0,0,(XLOOKUP($A35,'Shipment Setup'!$A:$A,'Shipment Setup'!$R:$R,0)+SUMIFS('Operations Ledger'!$E:$E,'Operations Ledger'!$A:$A,$A35,'Operations Ledger'!$B:$B,"Clanny",'Operations Ledger'!$F:$F,"Yes"))/(XLOOKUP($A35,'Shipment Setup'!$A:$A,'Shipment Setup'!$Q:$Q,0)+SUMIFS('Operations Ledger'!$E:$E,'Operations Ledger'!$A:$A,$A35,'Operations Ledger'!$B:$B,"Clenny",'Operations Ledger'!$F:$F,"Yes")+XLOOKUP($A35,'Shipment Setup'!$A:$A,'Shipment Setup'!$R:$R,0)+SUMIFS('Operations Ledger'!$E:$E,'Operations Ledger'!$A:$A,$A35,'Operations Ledger'!$B:$B,"Clanny",'Operations Ledger'!$F:$F,"Yes"))))-SUMIFS('Sales Ledger'!$K:$K,'Sales Ledger'!$A:$A,$A35,'Sales Ledger'!$L:$L,"Clanny"))</f>
        <v/>
      </c>
      <c r="K35" s="30" t="str">
        <f t="array" ref="K35">IF($A35="","",XLOOKUP($A35,'Shipment Setup'!$A:$A,'Shipment Setup'!$S:$S,""))</f>
        <v/>
      </c>
    </row>
    <row r="36" ht="14.25" customHeight="1">
      <c r="A36" s="30" t="str">
        <f>IF('Shipment Setup'!A36="","",'Shipment Setup'!A36)</f>
        <v/>
      </c>
      <c r="B36" s="30" t="str">
        <f t="array" ref="B36">IF($A36="","",XLOOKUP($A36,'Shipment Setup'!$A:$A,'Shipment Setup'!$B:$B,""))</f>
        <v/>
      </c>
      <c r="C36" s="30" t="str">
        <f t="array" ref="C36">IF($A36="","",XLOOKUP($A36,'Shipment Setup'!$A:$A,'Shipment Setup'!$C:$C,""))</f>
        <v/>
      </c>
      <c r="D36" s="30" t="str">
        <f t="array" ref="D36">IF($A36="","",XLOOKUP($A36,'Shipment Setup'!$A:$A,'Shipment Setup'!$N:$N,0))</f>
        <v/>
      </c>
      <c r="E36" s="30" t="str">
        <f t="array" ref="E36">IF($A36="","",XLOOKUP($A36,'Shipment Setup'!$A:$A,'Shipment Setup'!$P:$P,0))</f>
        <v/>
      </c>
      <c r="F36" s="30" t="str">
        <f>IF($A36="","",SUMIFS('Sales Ledger'!$K:$K,'Sales Ledger'!$A:$A,$A36))</f>
        <v/>
      </c>
      <c r="G36" s="30" t="str">
        <f>IF($A36="","",SUMIFS('Sales Ledger'!$I:$I,'Sales Ledger'!$A:$A,$A36))</f>
        <v/>
      </c>
      <c r="H36" s="30" t="str">
        <f t="array" ref="H36">IF($A36="","",MAX(0,XLOOKUP($A36,'Shipment Setup'!$A:$A,'Shipment Setup'!$L:$L,0)-G36))</f>
        <v/>
      </c>
      <c r="I36" s="30" t="str">
        <f t="array" ref="I36">IF($A36="","",(XLOOKUP($A36,'Shipment Setup'!$A:$A,'Shipment Setup'!$Q:$Q,0)+SUMIFS('Operations Ledger'!$E:$E,'Operations Ledger'!$A:$A,$A36,'Operations Ledger'!$B:$B,"Clenny",'Operations Ledger'!$F:$F,"Yes"))+((F36-(XLOOKUP($A36,'Shipment Setup'!$A:$A,'Shipment Setup'!$N:$N,0)+SUMIFS('Operations Ledger'!$E:$E,'Operations Ledger'!$A:$A,$A36,'Operations Ledger'!$F:$F,"Yes")))*IF((XLOOKUP($A36,'Shipment Setup'!$A:$A,'Shipment Setup'!$Q:$Q,0)+SUMIFS('Operations Ledger'!$E:$E,'Operations Ledger'!$A:$A,$A36,'Operations Ledger'!$B:$B,"Clenny",'Operations Ledger'!$F:$F,"Yes")+XLOOKUP($A36,'Shipment Setup'!$A:$A,'Shipment Setup'!$R:$R,0)+SUMIFS('Operations Ledger'!$E:$E,'Operations Ledger'!$A:$A,$A36,'Operations Ledger'!$B:$B,"Clanny",'Operations Ledger'!$F:$F,"Yes"))=0,0,(XLOOKUP($A36,'Shipment Setup'!$A:$A,'Shipment Setup'!$Q:$Q,0)+SUMIFS('Operations Ledger'!$E:$E,'Operations Ledger'!$A:$A,$A36,'Operations Ledger'!$B:$B,"Clenny",'Operations Ledger'!$F:$F,"Yes"))/(XLOOKUP($A36,'Shipment Setup'!$A:$A,'Shipment Setup'!$Q:$Q,0)+SUMIFS('Operations Ledger'!$E:$E,'Operations Ledger'!$A:$A,$A36,'Operations Ledger'!$B:$B,"Clenny",'Operations Ledger'!$F:$F,"Yes")+XLOOKUP($A36,'Shipment Setup'!$A:$A,'Shipment Setup'!$R:$R,0)+SUMIFS('Operations Ledger'!$E:$E,'Operations Ledger'!$A:$A,$A36,'Operations Ledger'!$B:$B,"Clanny",'Operations Ledger'!$F:$F,"Yes"))))-SUMIFS('Sales Ledger'!$K:$K,'Sales Ledger'!$A:$A,$A36,'Sales Ledger'!$L:$L,"Clenny"))</f>
        <v/>
      </c>
      <c r="J36" s="30" t="str">
        <f t="array" ref="J36">IF($A36="","",(XLOOKUP($A36,'Shipment Setup'!$A:$A,'Shipment Setup'!$R:$R,0)+SUMIFS('Operations Ledger'!$E:$E,'Operations Ledger'!$A:$A,$A36,'Operations Ledger'!$B:$B,"Clanny",'Operations Ledger'!$F:$F,"Yes"))+((F36-(XLOOKUP($A36,'Shipment Setup'!$A:$A,'Shipment Setup'!$N:$N,0)+SUMIFS('Operations Ledger'!$E:$E,'Operations Ledger'!$A:$A,$A36,'Operations Ledger'!$F:$F,"Yes")))*IF((XLOOKUP($A36,'Shipment Setup'!$A:$A,'Shipment Setup'!$Q:$Q,0)+SUMIFS('Operations Ledger'!$E:$E,'Operations Ledger'!$A:$A,$A36,'Operations Ledger'!$B:$B,"Clenny",'Operations Ledger'!$F:$F,"Yes")+XLOOKUP($A36,'Shipment Setup'!$A:$A,'Shipment Setup'!$R:$R,0)+SUMIFS('Operations Ledger'!$E:$E,'Operations Ledger'!$A:$A,$A36,'Operations Ledger'!$B:$B,"Clanny",'Operations Ledger'!$F:$F,"Yes"))=0,0,(XLOOKUP($A36,'Shipment Setup'!$A:$A,'Shipment Setup'!$R:$R,0)+SUMIFS('Operations Ledger'!$E:$E,'Operations Ledger'!$A:$A,$A36,'Operations Ledger'!$B:$B,"Clanny",'Operations Ledger'!$F:$F,"Yes"))/(XLOOKUP($A36,'Shipment Setup'!$A:$A,'Shipment Setup'!$Q:$Q,0)+SUMIFS('Operations Ledger'!$E:$E,'Operations Ledger'!$A:$A,$A36,'Operations Ledger'!$B:$B,"Clenny",'Operations Ledger'!$F:$F,"Yes")+XLOOKUP($A36,'Shipment Setup'!$A:$A,'Shipment Setup'!$R:$R,0)+SUMIFS('Operations Ledger'!$E:$E,'Operations Ledger'!$A:$A,$A36,'Operations Ledger'!$B:$B,"Clanny",'Operations Ledger'!$F:$F,"Yes"))))-SUMIFS('Sales Ledger'!$K:$K,'Sales Ledger'!$A:$A,$A36,'Sales Ledger'!$L:$L,"Clanny"))</f>
        <v/>
      </c>
      <c r="K36" s="30" t="str">
        <f t="array" ref="K36">IF($A36="","",XLOOKUP($A36,'Shipment Setup'!$A:$A,'Shipment Setup'!$S:$S,""))</f>
        <v/>
      </c>
    </row>
    <row r="37" ht="14.25" customHeight="1">
      <c r="A37" s="30" t="str">
        <f>IF('Shipment Setup'!A37="","",'Shipment Setup'!A37)</f>
        <v/>
      </c>
      <c r="B37" s="30" t="str">
        <f t="array" ref="B37">IF($A37="","",XLOOKUP($A37,'Shipment Setup'!$A:$A,'Shipment Setup'!$B:$B,""))</f>
        <v/>
      </c>
      <c r="C37" s="30" t="str">
        <f t="array" ref="C37">IF($A37="","",XLOOKUP($A37,'Shipment Setup'!$A:$A,'Shipment Setup'!$C:$C,""))</f>
        <v/>
      </c>
      <c r="D37" s="30" t="str">
        <f t="array" ref="D37">IF($A37="","",XLOOKUP($A37,'Shipment Setup'!$A:$A,'Shipment Setup'!$N:$N,0))</f>
        <v/>
      </c>
      <c r="E37" s="30" t="str">
        <f t="array" ref="E37">IF($A37="","",XLOOKUP($A37,'Shipment Setup'!$A:$A,'Shipment Setup'!$P:$P,0))</f>
        <v/>
      </c>
      <c r="F37" s="30" t="str">
        <f>IF($A37="","",SUMIFS('Sales Ledger'!$K:$K,'Sales Ledger'!$A:$A,$A37))</f>
        <v/>
      </c>
      <c r="G37" s="30" t="str">
        <f>IF($A37="","",SUMIFS('Sales Ledger'!$I:$I,'Sales Ledger'!$A:$A,$A37))</f>
        <v/>
      </c>
      <c r="H37" s="30" t="str">
        <f t="array" ref="H37">IF($A37="","",MAX(0,XLOOKUP($A37,'Shipment Setup'!$A:$A,'Shipment Setup'!$L:$L,0)-G37))</f>
        <v/>
      </c>
      <c r="I37" s="30" t="str">
        <f t="array" ref="I37">IF($A37="","",(XLOOKUP($A37,'Shipment Setup'!$A:$A,'Shipment Setup'!$Q:$Q,0)+SUMIFS('Operations Ledger'!$E:$E,'Operations Ledger'!$A:$A,$A37,'Operations Ledger'!$B:$B,"Clenny",'Operations Ledger'!$F:$F,"Yes"))+((F37-(XLOOKUP($A37,'Shipment Setup'!$A:$A,'Shipment Setup'!$N:$N,0)+SUMIFS('Operations Ledger'!$E:$E,'Operations Ledger'!$A:$A,$A37,'Operations Ledger'!$F:$F,"Yes")))*IF((XLOOKUP($A37,'Shipment Setup'!$A:$A,'Shipment Setup'!$Q:$Q,0)+SUMIFS('Operations Ledger'!$E:$E,'Operations Ledger'!$A:$A,$A37,'Operations Ledger'!$B:$B,"Clenny",'Operations Ledger'!$F:$F,"Yes")+XLOOKUP($A37,'Shipment Setup'!$A:$A,'Shipment Setup'!$R:$R,0)+SUMIFS('Operations Ledger'!$E:$E,'Operations Ledger'!$A:$A,$A37,'Operations Ledger'!$B:$B,"Clanny",'Operations Ledger'!$F:$F,"Yes"))=0,0,(XLOOKUP($A37,'Shipment Setup'!$A:$A,'Shipment Setup'!$Q:$Q,0)+SUMIFS('Operations Ledger'!$E:$E,'Operations Ledger'!$A:$A,$A37,'Operations Ledger'!$B:$B,"Clenny",'Operations Ledger'!$F:$F,"Yes"))/(XLOOKUP($A37,'Shipment Setup'!$A:$A,'Shipment Setup'!$Q:$Q,0)+SUMIFS('Operations Ledger'!$E:$E,'Operations Ledger'!$A:$A,$A37,'Operations Ledger'!$B:$B,"Clenny",'Operations Ledger'!$F:$F,"Yes")+XLOOKUP($A37,'Shipment Setup'!$A:$A,'Shipment Setup'!$R:$R,0)+SUMIFS('Operations Ledger'!$E:$E,'Operations Ledger'!$A:$A,$A37,'Operations Ledger'!$B:$B,"Clanny",'Operations Ledger'!$F:$F,"Yes"))))-SUMIFS('Sales Ledger'!$K:$K,'Sales Ledger'!$A:$A,$A37,'Sales Ledger'!$L:$L,"Clenny"))</f>
        <v/>
      </c>
      <c r="J37" s="30" t="str">
        <f t="array" ref="J37">IF($A37="","",(XLOOKUP($A37,'Shipment Setup'!$A:$A,'Shipment Setup'!$R:$R,0)+SUMIFS('Operations Ledger'!$E:$E,'Operations Ledger'!$A:$A,$A37,'Operations Ledger'!$B:$B,"Clanny",'Operations Ledger'!$F:$F,"Yes"))+((F37-(XLOOKUP($A37,'Shipment Setup'!$A:$A,'Shipment Setup'!$N:$N,0)+SUMIFS('Operations Ledger'!$E:$E,'Operations Ledger'!$A:$A,$A37,'Operations Ledger'!$F:$F,"Yes")))*IF((XLOOKUP($A37,'Shipment Setup'!$A:$A,'Shipment Setup'!$Q:$Q,0)+SUMIFS('Operations Ledger'!$E:$E,'Operations Ledger'!$A:$A,$A37,'Operations Ledger'!$B:$B,"Clenny",'Operations Ledger'!$F:$F,"Yes")+XLOOKUP($A37,'Shipment Setup'!$A:$A,'Shipment Setup'!$R:$R,0)+SUMIFS('Operations Ledger'!$E:$E,'Operations Ledger'!$A:$A,$A37,'Operations Ledger'!$B:$B,"Clanny",'Operations Ledger'!$F:$F,"Yes"))=0,0,(XLOOKUP($A37,'Shipment Setup'!$A:$A,'Shipment Setup'!$R:$R,0)+SUMIFS('Operations Ledger'!$E:$E,'Operations Ledger'!$A:$A,$A37,'Operations Ledger'!$B:$B,"Clanny",'Operations Ledger'!$F:$F,"Yes"))/(XLOOKUP($A37,'Shipment Setup'!$A:$A,'Shipment Setup'!$Q:$Q,0)+SUMIFS('Operations Ledger'!$E:$E,'Operations Ledger'!$A:$A,$A37,'Operations Ledger'!$B:$B,"Clenny",'Operations Ledger'!$F:$F,"Yes")+XLOOKUP($A37,'Shipment Setup'!$A:$A,'Shipment Setup'!$R:$R,0)+SUMIFS('Operations Ledger'!$E:$E,'Operations Ledger'!$A:$A,$A37,'Operations Ledger'!$B:$B,"Clanny",'Operations Ledger'!$F:$F,"Yes"))))-SUMIFS('Sales Ledger'!$K:$K,'Sales Ledger'!$A:$A,$A37,'Sales Ledger'!$L:$L,"Clanny"))</f>
        <v/>
      </c>
      <c r="K37" s="30" t="str">
        <f t="array" ref="K37">IF($A37="","",XLOOKUP($A37,'Shipment Setup'!$A:$A,'Shipment Setup'!$S:$S,""))</f>
        <v/>
      </c>
    </row>
    <row r="38" ht="14.25" customHeight="1">
      <c r="A38" s="30" t="str">
        <f>IF('Shipment Setup'!A38="","",'Shipment Setup'!A38)</f>
        <v/>
      </c>
      <c r="B38" s="30" t="str">
        <f t="array" ref="B38">IF($A38="","",XLOOKUP($A38,'Shipment Setup'!$A:$A,'Shipment Setup'!$B:$B,""))</f>
        <v/>
      </c>
      <c r="C38" s="30" t="str">
        <f t="array" ref="C38">IF($A38="","",XLOOKUP($A38,'Shipment Setup'!$A:$A,'Shipment Setup'!$C:$C,""))</f>
        <v/>
      </c>
      <c r="D38" s="30" t="str">
        <f t="array" ref="D38">IF($A38="","",XLOOKUP($A38,'Shipment Setup'!$A:$A,'Shipment Setup'!$N:$N,0))</f>
        <v/>
      </c>
      <c r="E38" s="30" t="str">
        <f t="array" ref="E38">IF($A38="","",XLOOKUP($A38,'Shipment Setup'!$A:$A,'Shipment Setup'!$P:$P,0))</f>
        <v/>
      </c>
      <c r="F38" s="30" t="str">
        <f>IF($A38="","",SUMIFS('Sales Ledger'!$K:$K,'Sales Ledger'!$A:$A,$A38))</f>
        <v/>
      </c>
      <c r="G38" s="30" t="str">
        <f>IF($A38="","",SUMIFS('Sales Ledger'!$I:$I,'Sales Ledger'!$A:$A,$A38))</f>
        <v/>
      </c>
      <c r="H38" s="30" t="str">
        <f t="array" ref="H38">IF($A38="","",MAX(0,XLOOKUP($A38,'Shipment Setup'!$A:$A,'Shipment Setup'!$L:$L,0)-G38))</f>
        <v/>
      </c>
      <c r="I38" s="30" t="str">
        <f t="array" ref="I38">IF($A38="","",(XLOOKUP($A38,'Shipment Setup'!$A:$A,'Shipment Setup'!$Q:$Q,0)+SUMIFS('Operations Ledger'!$E:$E,'Operations Ledger'!$A:$A,$A38,'Operations Ledger'!$B:$B,"Clenny",'Operations Ledger'!$F:$F,"Yes"))+((F38-(XLOOKUP($A38,'Shipment Setup'!$A:$A,'Shipment Setup'!$N:$N,0)+SUMIFS('Operations Ledger'!$E:$E,'Operations Ledger'!$A:$A,$A38,'Operations Ledger'!$F:$F,"Yes")))*IF((XLOOKUP($A38,'Shipment Setup'!$A:$A,'Shipment Setup'!$Q:$Q,0)+SUMIFS('Operations Ledger'!$E:$E,'Operations Ledger'!$A:$A,$A38,'Operations Ledger'!$B:$B,"Clenny",'Operations Ledger'!$F:$F,"Yes")+XLOOKUP($A38,'Shipment Setup'!$A:$A,'Shipment Setup'!$R:$R,0)+SUMIFS('Operations Ledger'!$E:$E,'Operations Ledger'!$A:$A,$A38,'Operations Ledger'!$B:$B,"Clanny",'Operations Ledger'!$F:$F,"Yes"))=0,0,(XLOOKUP($A38,'Shipment Setup'!$A:$A,'Shipment Setup'!$Q:$Q,0)+SUMIFS('Operations Ledger'!$E:$E,'Operations Ledger'!$A:$A,$A38,'Operations Ledger'!$B:$B,"Clenny",'Operations Ledger'!$F:$F,"Yes"))/(XLOOKUP($A38,'Shipment Setup'!$A:$A,'Shipment Setup'!$Q:$Q,0)+SUMIFS('Operations Ledger'!$E:$E,'Operations Ledger'!$A:$A,$A38,'Operations Ledger'!$B:$B,"Clenny",'Operations Ledger'!$F:$F,"Yes")+XLOOKUP($A38,'Shipment Setup'!$A:$A,'Shipment Setup'!$R:$R,0)+SUMIFS('Operations Ledger'!$E:$E,'Operations Ledger'!$A:$A,$A38,'Operations Ledger'!$B:$B,"Clanny",'Operations Ledger'!$F:$F,"Yes"))))-SUMIFS('Sales Ledger'!$K:$K,'Sales Ledger'!$A:$A,$A38,'Sales Ledger'!$L:$L,"Clenny"))</f>
        <v/>
      </c>
      <c r="J38" s="30" t="str">
        <f t="array" ref="J38">IF($A38="","",(XLOOKUP($A38,'Shipment Setup'!$A:$A,'Shipment Setup'!$R:$R,0)+SUMIFS('Operations Ledger'!$E:$E,'Operations Ledger'!$A:$A,$A38,'Operations Ledger'!$B:$B,"Clanny",'Operations Ledger'!$F:$F,"Yes"))+((F38-(XLOOKUP($A38,'Shipment Setup'!$A:$A,'Shipment Setup'!$N:$N,0)+SUMIFS('Operations Ledger'!$E:$E,'Operations Ledger'!$A:$A,$A38,'Operations Ledger'!$F:$F,"Yes")))*IF((XLOOKUP($A38,'Shipment Setup'!$A:$A,'Shipment Setup'!$Q:$Q,0)+SUMIFS('Operations Ledger'!$E:$E,'Operations Ledger'!$A:$A,$A38,'Operations Ledger'!$B:$B,"Clenny",'Operations Ledger'!$F:$F,"Yes")+XLOOKUP($A38,'Shipment Setup'!$A:$A,'Shipment Setup'!$R:$R,0)+SUMIFS('Operations Ledger'!$E:$E,'Operations Ledger'!$A:$A,$A38,'Operations Ledger'!$B:$B,"Clanny",'Operations Ledger'!$F:$F,"Yes"))=0,0,(XLOOKUP($A38,'Shipment Setup'!$A:$A,'Shipment Setup'!$R:$R,0)+SUMIFS('Operations Ledger'!$E:$E,'Operations Ledger'!$A:$A,$A38,'Operations Ledger'!$B:$B,"Clanny",'Operations Ledger'!$F:$F,"Yes"))/(XLOOKUP($A38,'Shipment Setup'!$A:$A,'Shipment Setup'!$Q:$Q,0)+SUMIFS('Operations Ledger'!$E:$E,'Operations Ledger'!$A:$A,$A38,'Operations Ledger'!$B:$B,"Clenny",'Operations Ledger'!$F:$F,"Yes")+XLOOKUP($A38,'Shipment Setup'!$A:$A,'Shipment Setup'!$R:$R,0)+SUMIFS('Operations Ledger'!$E:$E,'Operations Ledger'!$A:$A,$A38,'Operations Ledger'!$B:$B,"Clanny",'Operations Ledger'!$F:$F,"Yes"))))-SUMIFS('Sales Ledger'!$K:$K,'Sales Ledger'!$A:$A,$A38,'Sales Ledger'!$L:$L,"Clanny"))</f>
        <v/>
      </c>
      <c r="K38" s="30" t="str">
        <f t="array" ref="K38">IF($A38="","",XLOOKUP($A38,'Shipment Setup'!$A:$A,'Shipment Setup'!$S:$S,""))</f>
        <v/>
      </c>
    </row>
    <row r="39" ht="14.25" customHeight="1">
      <c r="A39" s="30" t="str">
        <f>IF('Shipment Setup'!A39="","",'Shipment Setup'!A39)</f>
        <v/>
      </c>
      <c r="B39" s="30" t="str">
        <f t="array" ref="B39">IF($A39="","",XLOOKUP($A39,'Shipment Setup'!$A:$A,'Shipment Setup'!$B:$B,""))</f>
        <v/>
      </c>
      <c r="C39" s="30" t="str">
        <f t="array" ref="C39">IF($A39="","",XLOOKUP($A39,'Shipment Setup'!$A:$A,'Shipment Setup'!$C:$C,""))</f>
        <v/>
      </c>
      <c r="D39" s="30" t="str">
        <f t="array" ref="D39">IF($A39="","",XLOOKUP($A39,'Shipment Setup'!$A:$A,'Shipment Setup'!$N:$N,0))</f>
        <v/>
      </c>
      <c r="E39" s="30" t="str">
        <f t="array" ref="E39">IF($A39="","",XLOOKUP($A39,'Shipment Setup'!$A:$A,'Shipment Setup'!$P:$P,0))</f>
        <v/>
      </c>
      <c r="F39" s="30" t="str">
        <f>IF($A39="","",SUMIFS('Sales Ledger'!$K:$K,'Sales Ledger'!$A:$A,$A39))</f>
        <v/>
      </c>
      <c r="G39" s="30" t="str">
        <f>IF($A39="","",SUMIFS('Sales Ledger'!$I:$I,'Sales Ledger'!$A:$A,$A39))</f>
        <v/>
      </c>
      <c r="H39" s="30" t="str">
        <f t="array" ref="H39">IF($A39="","",MAX(0,XLOOKUP($A39,'Shipment Setup'!$A:$A,'Shipment Setup'!$L:$L,0)-G39))</f>
        <v/>
      </c>
      <c r="I39" s="30" t="str">
        <f t="array" ref="I39">IF($A39="","",(XLOOKUP($A39,'Shipment Setup'!$A:$A,'Shipment Setup'!$Q:$Q,0)+SUMIFS('Operations Ledger'!$E:$E,'Operations Ledger'!$A:$A,$A39,'Operations Ledger'!$B:$B,"Clenny",'Operations Ledger'!$F:$F,"Yes"))+((F39-(XLOOKUP($A39,'Shipment Setup'!$A:$A,'Shipment Setup'!$N:$N,0)+SUMIFS('Operations Ledger'!$E:$E,'Operations Ledger'!$A:$A,$A39,'Operations Ledger'!$F:$F,"Yes")))*IF((XLOOKUP($A39,'Shipment Setup'!$A:$A,'Shipment Setup'!$Q:$Q,0)+SUMIFS('Operations Ledger'!$E:$E,'Operations Ledger'!$A:$A,$A39,'Operations Ledger'!$B:$B,"Clenny",'Operations Ledger'!$F:$F,"Yes")+XLOOKUP($A39,'Shipment Setup'!$A:$A,'Shipment Setup'!$R:$R,0)+SUMIFS('Operations Ledger'!$E:$E,'Operations Ledger'!$A:$A,$A39,'Operations Ledger'!$B:$B,"Clanny",'Operations Ledger'!$F:$F,"Yes"))=0,0,(XLOOKUP($A39,'Shipment Setup'!$A:$A,'Shipment Setup'!$Q:$Q,0)+SUMIFS('Operations Ledger'!$E:$E,'Operations Ledger'!$A:$A,$A39,'Operations Ledger'!$B:$B,"Clenny",'Operations Ledger'!$F:$F,"Yes"))/(XLOOKUP($A39,'Shipment Setup'!$A:$A,'Shipment Setup'!$Q:$Q,0)+SUMIFS('Operations Ledger'!$E:$E,'Operations Ledger'!$A:$A,$A39,'Operations Ledger'!$B:$B,"Clenny",'Operations Ledger'!$F:$F,"Yes")+XLOOKUP($A39,'Shipment Setup'!$A:$A,'Shipment Setup'!$R:$R,0)+SUMIFS('Operations Ledger'!$E:$E,'Operations Ledger'!$A:$A,$A39,'Operations Ledger'!$B:$B,"Clanny",'Operations Ledger'!$F:$F,"Yes"))))-SUMIFS('Sales Ledger'!$K:$K,'Sales Ledger'!$A:$A,$A39,'Sales Ledger'!$L:$L,"Clenny"))</f>
        <v/>
      </c>
      <c r="J39" s="30" t="str">
        <f t="array" ref="J39">IF($A39="","",(XLOOKUP($A39,'Shipment Setup'!$A:$A,'Shipment Setup'!$R:$R,0)+SUMIFS('Operations Ledger'!$E:$E,'Operations Ledger'!$A:$A,$A39,'Operations Ledger'!$B:$B,"Clanny",'Operations Ledger'!$F:$F,"Yes"))+((F39-(XLOOKUP($A39,'Shipment Setup'!$A:$A,'Shipment Setup'!$N:$N,0)+SUMIFS('Operations Ledger'!$E:$E,'Operations Ledger'!$A:$A,$A39,'Operations Ledger'!$F:$F,"Yes")))*IF((XLOOKUP($A39,'Shipment Setup'!$A:$A,'Shipment Setup'!$Q:$Q,0)+SUMIFS('Operations Ledger'!$E:$E,'Operations Ledger'!$A:$A,$A39,'Operations Ledger'!$B:$B,"Clenny",'Operations Ledger'!$F:$F,"Yes")+XLOOKUP($A39,'Shipment Setup'!$A:$A,'Shipment Setup'!$R:$R,0)+SUMIFS('Operations Ledger'!$E:$E,'Operations Ledger'!$A:$A,$A39,'Operations Ledger'!$B:$B,"Clanny",'Operations Ledger'!$F:$F,"Yes"))=0,0,(XLOOKUP($A39,'Shipment Setup'!$A:$A,'Shipment Setup'!$R:$R,0)+SUMIFS('Operations Ledger'!$E:$E,'Operations Ledger'!$A:$A,$A39,'Operations Ledger'!$B:$B,"Clanny",'Operations Ledger'!$F:$F,"Yes"))/(XLOOKUP($A39,'Shipment Setup'!$A:$A,'Shipment Setup'!$Q:$Q,0)+SUMIFS('Operations Ledger'!$E:$E,'Operations Ledger'!$A:$A,$A39,'Operations Ledger'!$B:$B,"Clenny",'Operations Ledger'!$F:$F,"Yes")+XLOOKUP($A39,'Shipment Setup'!$A:$A,'Shipment Setup'!$R:$R,0)+SUMIFS('Operations Ledger'!$E:$E,'Operations Ledger'!$A:$A,$A39,'Operations Ledger'!$B:$B,"Clanny",'Operations Ledger'!$F:$F,"Yes"))))-SUMIFS('Sales Ledger'!$K:$K,'Sales Ledger'!$A:$A,$A39,'Sales Ledger'!$L:$L,"Clanny"))</f>
        <v/>
      </c>
      <c r="K39" s="30" t="str">
        <f t="array" ref="K39">IF($A39="","",XLOOKUP($A39,'Shipment Setup'!$A:$A,'Shipment Setup'!$S:$S,""))</f>
        <v/>
      </c>
    </row>
    <row r="40" ht="14.25" customHeight="1">
      <c r="A40" s="30" t="str">
        <f>IF('Shipment Setup'!A40="","",'Shipment Setup'!A40)</f>
        <v/>
      </c>
      <c r="B40" s="30" t="str">
        <f t="array" ref="B40">IF($A40="","",XLOOKUP($A40,'Shipment Setup'!$A:$A,'Shipment Setup'!$B:$B,""))</f>
        <v/>
      </c>
      <c r="C40" s="30" t="str">
        <f t="array" ref="C40">IF($A40="","",XLOOKUP($A40,'Shipment Setup'!$A:$A,'Shipment Setup'!$C:$C,""))</f>
        <v/>
      </c>
      <c r="D40" s="30" t="str">
        <f t="array" ref="D40">IF($A40="","",XLOOKUP($A40,'Shipment Setup'!$A:$A,'Shipment Setup'!$N:$N,0))</f>
        <v/>
      </c>
      <c r="E40" s="30" t="str">
        <f t="array" ref="E40">IF($A40="","",XLOOKUP($A40,'Shipment Setup'!$A:$A,'Shipment Setup'!$P:$P,0))</f>
        <v/>
      </c>
      <c r="F40" s="30" t="str">
        <f>IF($A40="","",SUMIFS('Sales Ledger'!$K:$K,'Sales Ledger'!$A:$A,$A40))</f>
        <v/>
      </c>
      <c r="G40" s="30" t="str">
        <f>IF($A40="","",SUMIFS('Sales Ledger'!$I:$I,'Sales Ledger'!$A:$A,$A40))</f>
        <v/>
      </c>
      <c r="H40" s="30" t="str">
        <f t="array" ref="H40">IF($A40="","",MAX(0,XLOOKUP($A40,'Shipment Setup'!$A:$A,'Shipment Setup'!$L:$L,0)-G40))</f>
        <v/>
      </c>
      <c r="I40" s="30" t="str">
        <f t="array" ref="I40">IF($A40="","",(XLOOKUP($A40,'Shipment Setup'!$A:$A,'Shipment Setup'!$Q:$Q,0)+SUMIFS('Operations Ledger'!$E:$E,'Operations Ledger'!$A:$A,$A40,'Operations Ledger'!$B:$B,"Clenny",'Operations Ledger'!$F:$F,"Yes"))+((F40-(XLOOKUP($A40,'Shipment Setup'!$A:$A,'Shipment Setup'!$N:$N,0)+SUMIFS('Operations Ledger'!$E:$E,'Operations Ledger'!$A:$A,$A40,'Operations Ledger'!$F:$F,"Yes")))*IF((XLOOKUP($A40,'Shipment Setup'!$A:$A,'Shipment Setup'!$Q:$Q,0)+SUMIFS('Operations Ledger'!$E:$E,'Operations Ledger'!$A:$A,$A40,'Operations Ledger'!$B:$B,"Clenny",'Operations Ledger'!$F:$F,"Yes")+XLOOKUP($A40,'Shipment Setup'!$A:$A,'Shipment Setup'!$R:$R,0)+SUMIFS('Operations Ledger'!$E:$E,'Operations Ledger'!$A:$A,$A40,'Operations Ledger'!$B:$B,"Clanny",'Operations Ledger'!$F:$F,"Yes"))=0,0,(XLOOKUP($A40,'Shipment Setup'!$A:$A,'Shipment Setup'!$Q:$Q,0)+SUMIFS('Operations Ledger'!$E:$E,'Operations Ledger'!$A:$A,$A40,'Operations Ledger'!$B:$B,"Clenny",'Operations Ledger'!$F:$F,"Yes"))/(XLOOKUP($A40,'Shipment Setup'!$A:$A,'Shipment Setup'!$Q:$Q,0)+SUMIFS('Operations Ledger'!$E:$E,'Operations Ledger'!$A:$A,$A40,'Operations Ledger'!$B:$B,"Clenny",'Operations Ledger'!$F:$F,"Yes")+XLOOKUP($A40,'Shipment Setup'!$A:$A,'Shipment Setup'!$R:$R,0)+SUMIFS('Operations Ledger'!$E:$E,'Operations Ledger'!$A:$A,$A40,'Operations Ledger'!$B:$B,"Clanny",'Operations Ledger'!$F:$F,"Yes"))))-SUMIFS('Sales Ledger'!$K:$K,'Sales Ledger'!$A:$A,$A40,'Sales Ledger'!$L:$L,"Clenny"))</f>
        <v/>
      </c>
      <c r="J40" s="30" t="str">
        <f t="array" ref="J40">IF($A40="","",(XLOOKUP($A40,'Shipment Setup'!$A:$A,'Shipment Setup'!$R:$R,0)+SUMIFS('Operations Ledger'!$E:$E,'Operations Ledger'!$A:$A,$A40,'Operations Ledger'!$B:$B,"Clanny",'Operations Ledger'!$F:$F,"Yes"))+((F40-(XLOOKUP($A40,'Shipment Setup'!$A:$A,'Shipment Setup'!$N:$N,0)+SUMIFS('Operations Ledger'!$E:$E,'Operations Ledger'!$A:$A,$A40,'Operations Ledger'!$F:$F,"Yes")))*IF((XLOOKUP($A40,'Shipment Setup'!$A:$A,'Shipment Setup'!$Q:$Q,0)+SUMIFS('Operations Ledger'!$E:$E,'Operations Ledger'!$A:$A,$A40,'Operations Ledger'!$B:$B,"Clenny",'Operations Ledger'!$F:$F,"Yes")+XLOOKUP($A40,'Shipment Setup'!$A:$A,'Shipment Setup'!$R:$R,0)+SUMIFS('Operations Ledger'!$E:$E,'Operations Ledger'!$A:$A,$A40,'Operations Ledger'!$B:$B,"Clanny",'Operations Ledger'!$F:$F,"Yes"))=0,0,(XLOOKUP($A40,'Shipment Setup'!$A:$A,'Shipment Setup'!$R:$R,0)+SUMIFS('Operations Ledger'!$E:$E,'Operations Ledger'!$A:$A,$A40,'Operations Ledger'!$B:$B,"Clanny",'Operations Ledger'!$F:$F,"Yes"))/(XLOOKUP($A40,'Shipment Setup'!$A:$A,'Shipment Setup'!$Q:$Q,0)+SUMIFS('Operations Ledger'!$E:$E,'Operations Ledger'!$A:$A,$A40,'Operations Ledger'!$B:$B,"Clenny",'Operations Ledger'!$F:$F,"Yes")+XLOOKUP($A40,'Shipment Setup'!$A:$A,'Shipment Setup'!$R:$R,0)+SUMIFS('Operations Ledger'!$E:$E,'Operations Ledger'!$A:$A,$A40,'Operations Ledger'!$B:$B,"Clanny",'Operations Ledger'!$F:$F,"Yes"))))-SUMIFS('Sales Ledger'!$K:$K,'Sales Ledger'!$A:$A,$A40,'Sales Ledger'!$L:$L,"Clanny"))</f>
        <v/>
      </c>
      <c r="K40" s="30" t="str">
        <f t="array" ref="K40">IF($A40="","",XLOOKUP($A40,'Shipment Setup'!$A:$A,'Shipment Setup'!$S:$S,""))</f>
        <v/>
      </c>
    </row>
    <row r="41" ht="14.25" customHeight="1">
      <c r="A41" s="30" t="str">
        <f>IF('Shipment Setup'!A41="","",'Shipment Setup'!A41)</f>
        <v/>
      </c>
      <c r="B41" s="30" t="str">
        <f t="array" ref="B41">IF($A41="","",XLOOKUP($A41,'Shipment Setup'!$A:$A,'Shipment Setup'!$B:$B,""))</f>
        <v/>
      </c>
      <c r="C41" s="30" t="str">
        <f t="array" ref="C41">IF($A41="","",XLOOKUP($A41,'Shipment Setup'!$A:$A,'Shipment Setup'!$C:$C,""))</f>
        <v/>
      </c>
      <c r="D41" s="30" t="str">
        <f t="array" ref="D41">IF($A41="","",XLOOKUP($A41,'Shipment Setup'!$A:$A,'Shipment Setup'!$N:$N,0))</f>
        <v/>
      </c>
      <c r="E41" s="30" t="str">
        <f t="array" ref="E41">IF($A41="","",XLOOKUP($A41,'Shipment Setup'!$A:$A,'Shipment Setup'!$P:$P,0))</f>
        <v/>
      </c>
      <c r="F41" s="30" t="str">
        <f>IF($A41="","",SUMIFS('Sales Ledger'!$K:$K,'Sales Ledger'!$A:$A,$A41))</f>
        <v/>
      </c>
      <c r="G41" s="30" t="str">
        <f>IF($A41="","",SUMIFS('Sales Ledger'!$I:$I,'Sales Ledger'!$A:$A,$A41))</f>
        <v/>
      </c>
      <c r="H41" s="30" t="str">
        <f t="array" ref="H41">IF($A41="","",MAX(0,XLOOKUP($A41,'Shipment Setup'!$A:$A,'Shipment Setup'!$L:$L,0)-G41))</f>
        <v/>
      </c>
      <c r="I41" s="30" t="str">
        <f t="array" ref="I41">IF($A41="","",(XLOOKUP($A41,'Shipment Setup'!$A:$A,'Shipment Setup'!$Q:$Q,0)+SUMIFS('Operations Ledger'!$E:$E,'Operations Ledger'!$A:$A,$A41,'Operations Ledger'!$B:$B,"Clenny",'Operations Ledger'!$F:$F,"Yes"))+((F41-(XLOOKUP($A41,'Shipment Setup'!$A:$A,'Shipment Setup'!$N:$N,0)+SUMIFS('Operations Ledger'!$E:$E,'Operations Ledger'!$A:$A,$A41,'Operations Ledger'!$F:$F,"Yes")))*IF((XLOOKUP($A41,'Shipment Setup'!$A:$A,'Shipment Setup'!$Q:$Q,0)+SUMIFS('Operations Ledger'!$E:$E,'Operations Ledger'!$A:$A,$A41,'Operations Ledger'!$B:$B,"Clenny",'Operations Ledger'!$F:$F,"Yes")+XLOOKUP($A41,'Shipment Setup'!$A:$A,'Shipment Setup'!$R:$R,0)+SUMIFS('Operations Ledger'!$E:$E,'Operations Ledger'!$A:$A,$A41,'Operations Ledger'!$B:$B,"Clanny",'Operations Ledger'!$F:$F,"Yes"))=0,0,(XLOOKUP($A41,'Shipment Setup'!$A:$A,'Shipment Setup'!$Q:$Q,0)+SUMIFS('Operations Ledger'!$E:$E,'Operations Ledger'!$A:$A,$A41,'Operations Ledger'!$B:$B,"Clenny",'Operations Ledger'!$F:$F,"Yes"))/(XLOOKUP($A41,'Shipment Setup'!$A:$A,'Shipment Setup'!$Q:$Q,0)+SUMIFS('Operations Ledger'!$E:$E,'Operations Ledger'!$A:$A,$A41,'Operations Ledger'!$B:$B,"Clenny",'Operations Ledger'!$F:$F,"Yes")+XLOOKUP($A41,'Shipment Setup'!$A:$A,'Shipment Setup'!$R:$R,0)+SUMIFS('Operations Ledger'!$E:$E,'Operations Ledger'!$A:$A,$A41,'Operations Ledger'!$B:$B,"Clanny",'Operations Ledger'!$F:$F,"Yes"))))-SUMIFS('Sales Ledger'!$K:$K,'Sales Ledger'!$A:$A,$A41,'Sales Ledger'!$L:$L,"Clenny"))</f>
        <v/>
      </c>
      <c r="J41" s="30" t="str">
        <f t="array" ref="J41">IF($A41="","",(XLOOKUP($A41,'Shipment Setup'!$A:$A,'Shipment Setup'!$R:$R,0)+SUMIFS('Operations Ledger'!$E:$E,'Operations Ledger'!$A:$A,$A41,'Operations Ledger'!$B:$B,"Clanny",'Operations Ledger'!$F:$F,"Yes"))+((F41-(XLOOKUP($A41,'Shipment Setup'!$A:$A,'Shipment Setup'!$N:$N,0)+SUMIFS('Operations Ledger'!$E:$E,'Operations Ledger'!$A:$A,$A41,'Operations Ledger'!$F:$F,"Yes")))*IF((XLOOKUP($A41,'Shipment Setup'!$A:$A,'Shipment Setup'!$Q:$Q,0)+SUMIFS('Operations Ledger'!$E:$E,'Operations Ledger'!$A:$A,$A41,'Operations Ledger'!$B:$B,"Clenny",'Operations Ledger'!$F:$F,"Yes")+XLOOKUP($A41,'Shipment Setup'!$A:$A,'Shipment Setup'!$R:$R,0)+SUMIFS('Operations Ledger'!$E:$E,'Operations Ledger'!$A:$A,$A41,'Operations Ledger'!$B:$B,"Clanny",'Operations Ledger'!$F:$F,"Yes"))=0,0,(XLOOKUP($A41,'Shipment Setup'!$A:$A,'Shipment Setup'!$R:$R,0)+SUMIFS('Operations Ledger'!$E:$E,'Operations Ledger'!$A:$A,$A41,'Operations Ledger'!$B:$B,"Clanny",'Operations Ledger'!$F:$F,"Yes"))/(XLOOKUP($A41,'Shipment Setup'!$A:$A,'Shipment Setup'!$Q:$Q,0)+SUMIFS('Operations Ledger'!$E:$E,'Operations Ledger'!$A:$A,$A41,'Operations Ledger'!$B:$B,"Clenny",'Operations Ledger'!$F:$F,"Yes")+XLOOKUP($A41,'Shipment Setup'!$A:$A,'Shipment Setup'!$R:$R,0)+SUMIFS('Operations Ledger'!$E:$E,'Operations Ledger'!$A:$A,$A41,'Operations Ledger'!$B:$B,"Clanny",'Operations Ledger'!$F:$F,"Yes"))))-SUMIFS('Sales Ledger'!$K:$K,'Sales Ledger'!$A:$A,$A41,'Sales Ledger'!$L:$L,"Clanny"))</f>
        <v/>
      </c>
      <c r="K41" s="30" t="str">
        <f t="array" ref="K41">IF($A41="","",XLOOKUP($A41,'Shipment Setup'!$A:$A,'Shipment Setup'!$S:$S,""))</f>
        <v/>
      </c>
    </row>
    <row r="42" ht="14.25" customHeight="1">
      <c r="A42" s="30" t="str">
        <f>IF('Shipment Setup'!A42="","",'Shipment Setup'!A42)</f>
        <v/>
      </c>
      <c r="B42" s="30" t="str">
        <f t="array" ref="B42">IF($A42="","",XLOOKUP($A42,'Shipment Setup'!$A:$A,'Shipment Setup'!$B:$B,""))</f>
        <v/>
      </c>
      <c r="C42" s="30" t="str">
        <f t="array" ref="C42">IF($A42="","",XLOOKUP($A42,'Shipment Setup'!$A:$A,'Shipment Setup'!$C:$C,""))</f>
        <v/>
      </c>
      <c r="D42" s="30" t="str">
        <f t="array" ref="D42">IF($A42="","",XLOOKUP($A42,'Shipment Setup'!$A:$A,'Shipment Setup'!$N:$N,0))</f>
        <v/>
      </c>
      <c r="E42" s="30" t="str">
        <f t="array" ref="E42">IF($A42="","",XLOOKUP($A42,'Shipment Setup'!$A:$A,'Shipment Setup'!$P:$P,0))</f>
        <v/>
      </c>
      <c r="F42" s="30" t="str">
        <f>IF($A42="","",SUMIFS('Sales Ledger'!$K:$K,'Sales Ledger'!$A:$A,$A42))</f>
        <v/>
      </c>
      <c r="G42" s="30" t="str">
        <f>IF($A42="","",SUMIFS('Sales Ledger'!$I:$I,'Sales Ledger'!$A:$A,$A42))</f>
        <v/>
      </c>
      <c r="H42" s="30" t="str">
        <f t="array" ref="H42">IF($A42="","",MAX(0,XLOOKUP($A42,'Shipment Setup'!$A:$A,'Shipment Setup'!$L:$L,0)-G42))</f>
        <v/>
      </c>
      <c r="I42" s="30" t="str">
        <f t="array" ref="I42">IF($A42="","",(XLOOKUP($A42,'Shipment Setup'!$A:$A,'Shipment Setup'!$Q:$Q,0)+SUMIFS('Operations Ledger'!$E:$E,'Operations Ledger'!$A:$A,$A42,'Operations Ledger'!$B:$B,"Clenny",'Operations Ledger'!$F:$F,"Yes"))+((F42-(XLOOKUP($A42,'Shipment Setup'!$A:$A,'Shipment Setup'!$N:$N,0)+SUMIFS('Operations Ledger'!$E:$E,'Operations Ledger'!$A:$A,$A42,'Operations Ledger'!$F:$F,"Yes")))*IF((XLOOKUP($A42,'Shipment Setup'!$A:$A,'Shipment Setup'!$Q:$Q,0)+SUMIFS('Operations Ledger'!$E:$E,'Operations Ledger'!$A:$A,$A42,'Operations Ledger'!$B:$B,"Clenny",'Operations Ledger'!$F:$F,"Yes")+XLOOKUP($A42,'Shipment Setup'!$A:$A,'Shipment Setup'!$R:$R,0)+SUMIFS('Operations Ledger'!$E:$E,'Operations Ledger'!$A:$A,$A42,'Operations Ledger'!$B:$B,"Clanny",'Operations Ledger'!$F:$F,"Yes"))=0,0,(XLOOKUP($A42,'Shipment Setup'!$A:$A,'Shipment Setup'!$Q:$Q,0)+SUMIFS('Operations Ledger'!$E:$E,'Operations Ledger'!$A:$A,$A42,'Operations Ledger'!$B:$B,"Clenny",'Operations Ledger'!$F:$F,"Yes"))/(XLOOKUP($A42,'Shipment Setup'!$A:$A,'Shipment Setup'!$Q:$Q,0)+SUMIFS('Operations Ledger'!$E:$E,'Operations Ledger'!$A:$A,$A42,'Operations Ledger'!$B:$B,"Clenny",'Operations Ledger'!$F:$F,"Yes")+XLOOKUP($A42,'Shipment Setup'!$A:$A,'Shipment Setup'!$R:$R,0)+SUMIFS('Operations Ledger'!$E:$E,'Operations Ledger'!$A:$A,$A42,'Operations Ledger'!$B:$B,"Clanny",'Operations Ledger'!$F:$F,"Yes"))))-SUMIFS('Sales Ledger'!$K:$K,'Sales Ledger'!$A:$A,$A42,'Sales Ledger'!$L:$L,"Clenny"))</f>
        <v/>
      </c>
      <c r="J42" s="30" t="str">
        <f t="array" ref="J42">IF($A42="","",(XLOOKUP($A42,'Shipment Setup'!$A:$A,'Shipment Setup'!$R:$R,0)+SUMIFS('Operations Ledger'!$E:$E,'Operations Ledger'!$A:$A,$A42,'Operations Ledger'!$B:$B,"Clanny",'Operations Ledger'!$F:$F,"Yes"))+((F42-(XLOOKUP($A42,'Shipment Setup'!$A:$A,'Shipment Setup'!$N:$N,0)+SUMIFS('Operations Ledger'!$E:$E,'Operations Ledger'!$A:$A,$A42,'Operations Ledger'!$F:$F,"Yes")))*IF((XLOOKUP($A42,'Shipment Setup'!$A:$A,'Shipment Setup'!$Q:$Q,0)+SUMIFS('Operations Ledger'!$E:$E,'Operations Ledger'!$A:$A,$A42,'Operations Ledger'!$B:$B,"Clenny",'Operations Ledger'!$F:$F,"Yes")+XLOOKUP($A42,'Shipment Setup'!$A:$A,'Shipment Setup'!$R:$R,0)+SUMIFS('Operations Ledger'!$E:$E,'Operations Ledger'!$A:$A,$A42,'Operations Ledger'!$B:$B,"Clanny",'Operations Ledger'!$F:$F,"Yes"))=0,0,(XLOOKUP($A42,'Shipment Setup'!$A:$A,'Shipment Setup'!$R:$R,0)+SUMIFS('Operations Ledger'!$E:$E,'Operations Ledger'!$A:$A,$A42,'Operations Ledger'!$B:$B,"Clanny",'Operations Ledger'!$F:$F,"Yes"))/(XLOOKUP($A42,'Shipment Setup'!$A:$A,'Shipment Setup'!$Q:$Q,0)+SUMIFS('Operations Ledger'!$E:$E,'Operations Ledger'!$A:$A,$A42,'Operations Ledger'!$B:$B,"Clenny",'Operations Ledger'!$F:$F,"Yes")+XLOOKUP($A42,'Shipment Setup'!$A:$A,'Shipment Setup'!$R:$R,0)+SUMIFS('Operations Ledger'!$E:$E,'Operations Ledger'!$A:$A,$A42,'Operations Ledger'!$B:$B,"Clanny",'Operations Ledger'!$F:$F,"Yes"))))-SUMIFS('Sales Ledger'!$K:$K,'Sales Ledger'!$A:$A,$A42,'Sales Ledger'!$L:$L,"Clanny"))</f>
        <v/>
      </c>
      <c r="K42" s="30" t="str">
        <f t="array" ref="K42">IF($A42="","",XLOOKUP($A42,'Shipment Setup'!$A:$A,'Shipment Setup'!$S:$S,""))</f>
        <v/>
      </c>
    </row>
    <row r="43" ht="14.25" customHeight="1">
      <c r="A43" s="30" t="str">
        <f>IF('Shipment Setup'!A43="","",'Shipment Setup'!A43)</f>
        <v/>
      </c>
      <c r="B43" s="30" t="str">
        <f t="array" ref="B43">IF($A43="","",XLOOKUP($A43,'Shipment Setup'!$A:$A,'Shipment Setup'!$B:$B,""))</f>
        <v/>
      </c>
      <c r="C43" s="30" t="str">
        <f t="array" ref="C43">IF($A43="","",XLOOKUP($A43,'Shipment Setup'!$A:$A,'Shipment Setup'!$C:$C,""))</f>
        <v/>
      </c>
      <c r="D43" s="30" t="str">
        <f t="array" ref="D43">IF($A43="","",XLOOKUP($A43,'Shipment Setup'!$A:$A,'Shipment Setup'!$N:$N,0))</f>
        <v/>
      </c>
      <c r="E43" s="30" t="str">
        <f t="array" ref="E43">IF($A43="","",XLOOKUP($A43,'Shipment Setup'!$A:$A,'Shipment Setup'!$P:$P,0))</f>
        <v/>
      </c>
      <c r="F43" s="30" t="str">
        <f>IF($A43="","",SUMIFS('Sales Ledger'!$K:$K,'Sales Ledger'!$A:$A,$A43))</f>
        <v/>
      </c>
      <c r="G43" s="30" t="str">
        <f>IF($A43="","",SUMIFS('Sales Ledger'!$I:$I,'Sales Ledger'!$A:$A,$A43))</f>
        <v/>
      </c>
      <c r="H43" s="30" t="str">
        <f t="array" ref="H43">IF($A43="","",MAX(0,XLOOKUP($A43,'Shipment Setup'!$A:$A,'Shipment Setup'!$L:$L,0)-G43))</f>
        <v/>
      </c>
      <c r="I43" s="30" t="str">
        <f t="array" ref="I43">IF($A43="","",(XLOOKUP($A43,'Shipment Setup'!$A:$A,'Shipment Setup'!$Q:$Q,0)+SUMIFS('Operations Ledger'!$E:$E,'Operations Ledger'!$A:$A,$A43,'Operations Ledger'!$B:$B,"Clenny",'Operations Ledger'!$F:$F,"Yes"))+((F43-(XLOOKUP($A43,'Shipment Setup'!$A:$A,'Shipment Setup'!$N:$N,0)+SUMIFS('Operations Ledger'!$E:$E,'Operations Ledger'!$A:$A,$A43,'Operations Ledger'!$F:$F,"Yes")))*IF((XLOOKUP($A43,'Shipment Setup'!$A:$A,'Shipment Setup'!$Q:$Q,0)+SUMIFS('Operations Ledger'!$E:$E,'Operations Ledger'!$A:$A,$A43,'Operations Ledger'!$B:$B,"Clenny",'Operations Ledger'!$F:$F,"Yes")+XLOOKUP($A43,'Shipment Setup'!$A:$A,'Shipment Setup'!$R:$R,0)+SUMIFS('Operations Ledger'!$E:$E,'Operations Ledger'!$A:$A,$A43,'Operations Ledger'!$B:$B,"Clanny",'Operations Ledger'!$F:$F,"Yes"))=0,0,(XLOOKUP($A43,'Shipment Setup'!$A:$A,'Shipment Setup'!$Q:$Q,0)+SUMIFS('Operations Ledger'!$E:$E,'Operations Ledger'!$A:$A,$A43,'Operations Ledger'!$B:$B,"Clenny",'Operations Ledger'!$F:$F,"Yes"))/(XLOOKUP($A43,'Shipment Setup'!$A:$A,'Shipment Setup'!$Q:$Q,0)+SUMIFS('Operations Ledger'!$E:$E,'Operations Ledger'!$A:$A,$A43,'Operations Ledger'!$B:$B,"Clenny",'Operations Ledger'!$F:$F,"Yes")+XLOOKUP($A43,'Shipment Setup'!$A:$A,'Shipment Setup'!$R:$R,0)+SUMIFS('Operations Ledger'!$E:$E,'Operations Ledger'!$A:$A,$A43,'Operations Ledger'!$B:$B,"Clanny",'Operations Ledger'!$F:$F,"Yes"))))-SUMIFS('Sales Ledger'!$K:$K,'Sales Ledger'!$A:$A,$A43,'Sales Ledger'!$L:$L,"Clenny"))</f>
        <v/>
      </c>
      <c r="J43" s="30" t="str">
        <f t="array" ref="J43">IF($A43="","",(XLOOKUP($A43,'Shipment Setup'!$A:$A,'Shipment Setup'!$R:$R,0)+SUMIFS('Operations Ledger'!$E:$E,'Operations Ledger'!$A:$A,$A43,'Operations Ledger'!$B:$B,"Clanny",'Operations Ledger'!$F:$F,"Yes"))+((F43-(XLOOKUP($A43,'Shipment Setup'!$A:$A,'Shipment Setup'!$N:$N,0)+SUMIFS('Operations Ledger'!$E:$E,'Operations Ledger'!$A:$A,$A43,'Operations Ledger'!$F:$F,"Yes")))*IF((XLOOKUP($A43,'Shipment Setup'!$A:$A,'Shipment Setup'!$Q:$Q,0)+SUMIFS('Operations Ledger'!$E:$E,'Operations Ledger'!$A:$A,$A43,'Operations Ledger'!$B:$B,"Clenny",'Operations Ledger'!$F:$F,"Yes")+XLOOKUP($A43,'Shipment Setup'!$A:$A,'Shipment Setup'!$R:$R,0)+SUMIFS('Operations Ledger'!$E:$E,'Operations Ledger'!$A:$A,$A43,'Operations Ledger'!$B:$B,"Clanny",'Operations Ledger'!$F:$F,"Yes"))=0,0,(XLOOKUP($A43,'Shipment Setup'!$A:$A,'Shipment Setup'!$R:$R,0)+SUMIFS('Operations Ledger'!$E:$E,'Operations Ledger'!$A:$A,$A43,'Operations Ledger'!$B:$B,"Clanny",'Operations Ledger'!$F:$F,"Yes"))/(XLOOKUP($A43,'Shipment Setup'!$A:$A,'Shipment Setup'!$Q:$Q,0)+SUMIFS('Operations Ledger'!$E:$E,'Operations Ledger'!$A:$A,$A43,'Operations Ledger'!$B:$B,"Clenny",'Operations Ledger'!$F:$F,"Yes")+XLOOKUP($A43,'Shipment Setup'!$A:$A,'Shipment Setup'!$R:$R,0)+SUMIFS('Operations Ledger'!$E:$E,'Operations Ledger'!$A:$A,$A43,'Operations Ledger'!$B:$B,"Clanny",'Operations Ledger'!$F:$F,"Yes"))))-SUMIFS('Sales Ledger'!$K:$K,'Sales Ledger'!$A:$A,$A43,'Sales Ledger'!$L:$L,"Clanny"))</f>
        <v/>
      </c>
      <c r="K43" s="30" t="str">
        <f t="array" ref="K43">IF($A43="","",XLOOKUP($A43,'Shipment Setup'!$A:$A,'Shipment Setup'!$S:$S,""))</f>
        <v/>
      </c>
    </row>
    <row r="44" ht="14.25" customHeight="1">
      <c r="A44" s="30" t="str">
        <f>IF('Shipment Setup'!A44="","",'Shipment Setup'!A44)</f>
        <v/>
      </c>
      <c r="B44" s="30" t="str">
        <f t="array" ref="B44">IF($A44="","",XLOOKUP($A44,'Shipment Setup'!$A:$A,'Shipment Setup'!$B:$B,""))</f>
        <v/>
      </c>
      <c r="C44" s="30" t="str">
        <f t="array" ref="C44">IF($A44="","",XLOOKUP($A44,'Shipment Setup'!$A:$A,'Shipment Setup'!$C:$C,""))</f>
        <v/>
      </c>
      <c r="D44" s="30" t="str">
        <f t="array" ref="D44">IF($A44="","",XLOOKUP($A44,'Shipment Setup'!$A:$A,'Shipment Setup'!$N:$N,0))</f>
        <v/>
      </c>
      <c r="E44" s="30" t="str">
        <f t="array" ref="E44">IF($A44="","",XLOOKUP($A44,'Shipment Setup'!$A:$A,'Shipment Setup'!$P:$P,0))</f>
        <v/>
      </c>
      <c r="F44" s="30" t="str">
        <f>IF($A44="","",SUMIFS('Sales Ledger'!$K:$K,'Sales Ledger'!$A:$A,$A44))</f>
        <v/>
      </c>
      <c r="G44" s="30" t="str">
        <f>IF($A44="","",SUMIFS('Sales Ledger'!$I:$I,'Sales Ledger'!$A:$A,$A44))</f>
        <v/>
      </c>
      <c r="H44" s="30" t="str">
        <f t="array" ref="H44">IF($A44="","",MAX(0,XLOOKUP($A44,'Shipment Setup'!$A:$A,'Shipment Setup'!$L:$L,0)-G44))</f>
        <v/>
      </c>
      <c r="I44" s="30" t="str">
        <f t="array" ref="I44">IF($A44="","",(XLOOKUP($A44,'Shipment Setup'!$A:$A,'Shipment Setup'!$Q:$Q,0)+SUMIFS('Operations Ledger'!$E:$E,'Operations Ledger'!$A:$A,$A44,'Operations Ledger'!$B:$B,"Clenny",'Operations Ledger'!$F:$F,"Yes"))+((F44-(XLOOKUP($A44,'Shipment Setup'!$A:$A,'Shipment Setup'!$N:$N,0)+SUMIFS('Operations Ledger'!$E:$E,'Operations Ledger'!$A:$A,$A44,'Operations Ledger'!$F:$F,"Yes")))*IF((XLOOKUP($A44,'Shipment Setup'!$A:$A,'Shipment Setup'!$Q:$Q,0)+SUMIFS('Operations Ledger'!$E:$E,'Operations Ledger'!$A:$A,$A44,'Operations Ledger'!$B:$B,"Clenny",'Operations Ledger'!$F:$F,"Yes")+XLOOKUP($A44,'Shipment Setup'!$A:$A,'Shipment Setup'!$R:$R,0)+SUMIFS('Operations Ledger'!$E:$E,'Operations Ledger'!$A:$A,$A44,'Operations Ledger'!$B:$B,"Clanny",'Operations Ledger'!$F:$F,"Yes"))=0,0,(XLOOKUP($A44,'Shipment Setup'!$A:$A,'Shipment Setup'!$Q:$Q,0)+SUMIFS('Operations Ledger'!$E:$E,'Operations Ledger'!$A:$A,$A44,'Operations Ledger'!$B:$B,"Clenny",'Operations Ledger'!$F:$F,"Yes"))/(XLOOKUP($A44,'Shipment Setup'!$A:$A,'Shipment Setup'!$Q:$Q,0)+SUMIFS('Operations Ledger'!$E:$E,'Operations Ledger'!$A:$A,$A44,'Operations Ledger'!$B:$B,"Clenny",'Operations Ledger'!$F:$F,"Yes")+XLOOKUP($A44,'Shipment Setup'!$A:$A,'Shipment Setup'!$R:$R,0)+SUMIFS('Operations Ledger'!$E:$E,'Operations Ledger'!$A:$A,$A44,'Operations Ledger'!$B:$B,"Clanny",'Operations Ledger'!$F:$F,"Yes"))))-SUMIFS('Sales Ledger'!$K:$K,'Sales Ledger'!$A:$A,$A44,'Sales Ledger'!$L:$L,"Clenny"))</f>
        <v/>
      </c>
      <c r="J44" s="30" t="str">
        <f t="array" ref="J44">IF($A44="","",(XLOOKUP($A44,'Shipment Setup'!$A:$A,'Shipment Setup'!$R:$R,0)+SUMIFS('Operations Ledger'!$E:$E,'Operations Ledger'!$A:$A,$A44,'Operations Ledger'!$B:$B,"Clanny",'Operations Ledger'!$F:$F,"Yes"))+((F44-(XLOOKUP($A44,'Shipment Setup'!$A:$A,'Shipment Setup'!$N:$N,0)+SUMIFS('Operations Ledger'!$E:$E,'Operations Ledger'!$A:$A,$A44,'Operations Ledger'!$F:$F,"Yes")))*IF((XLOOKUP($A44,'Shipment Setup'!$A:$A,'Shipment Setup'!$Q:$Q,0)+SUMIFS('Operations Ledger'!$E:$E,'Operations Ledger'!$A:$A,$A44,'Operations Ledger'!$B:$B,"Clenny",'Operations Ledger'!$F:$F,"Yes")+XLOOKUP($A44,'Shipment Setup'!$A:$A,'Shipment Setup'!$R:$R,0)+SUMIFS('Operations Ledger'!$E:$E,'Operations Ledger'!$A:$A,$A44,'Operations Ledger'!$B:$B,"Clanny",'Operations Ledger'!$F:$F,"Yes"))=0,0,(XLOOKUP($A44,'Shipment Setup'!$A:$A,'Shipment Setup'!$R:$R,0)+SUMIFS('Operations Ledger'!$E:$E,'Operations Ledger'!$A:$A,$A44,'Operations Ledger'!$B:$B,"Clanny",'Operations Ledger'!$F:$F,"Yes"))/(XLOOKUP($A44,'Shipment Setup'!$A:$A,'Shipment Setup'!$Q:$Q,0)+SUMIFS('Operations Ledger'!$E:$E,'Operations Ledger'!$A:$A,$A44,'Operations Ledger'!$B:$B,"Clenny",'Operations Ledger'!$F:$F,"Yes")+XLOOKUP($A44,'Shipment Setup'!$A:$A,'Shipment Setup'!$R:$R,0)+SUMIFS('Operations Ledger'!$E:$E,'Operations Ledger'!$A:$A,$A44,'Operations Ledger'!$B:$B,"Clanny",'Operations Ledger'!$F:$F,"Yes"))))-SUMIFS('Sales Ledger'!$K:$K,'Sales Ledger'!$A:$A,$A44,'Sales Ledger'!$L:$L,"Clanny"))</f>
        <v/>
      </c>
      <c r="K44" s="30" t="str">
        <f t="array" ref="K44">IF($A44="","",XLOOKUP($A44,'Shipment Setup'!$A:$A,'Shipment Setup'!$S:$S,""))</f>
        <v/>
      </c>
    </row>
    <row r="45" ht="14.25" customHeight="1">
      <c r="A45" s="30" t="str">
        <f>IF('Shipment Setup'!A45="","",'Shipment Setup'!A45)</f>
        <v/>
      </c>
      <c r="B45" s="30" t="str">
        <f t="array" ref="B45">IF($A45="","",XLOOKUP($A45,'Shipment Setup'!$A:$A,'Shipment Setup'!$B:$B,""))</f>
        <v/>
      </c>
      <c r="C45" s="30" t="str">
        <f t="array" ref="C45">IF($A45="","",XLOOKUP($A45,'Shipment Setup'!$A:$A,'Shipment Setup'!$C:$C,""))</f>
        <v/>
      </c>
      <c r="D45" s="30" t="str">
        <f t="array" ref="D45">IF($A45="","",XLOOKUP($A45,'Shipment Setup'!$A:$A,'Shipment Setup'!$N:$N,0))</f>
        <v/>
      </c>
      <c r="E45" s="30" t="str">
        <f t="array" ref="E45">IF($A45="","",XLOOKUP($A45,'Shipment Setup'!$A:$A,'Shipment Setup'!$P:$P,0))</f>
        <v/>
      </c>
      <c r="F45" s="30" t="str">
        <f>IF($A45="","",SUMIFS('Sales Ledger'!$K:$K,'Sales Ledger'!$A:$A,$A45))</f>
        <v/>
      </c>
      <c r="G45" s="30" t="str">
        <f>IF($A45="","",SUMIFS('Sales Ledger'!$I:$I,'Sales Ledger'!$A:$A,$A45))</f>
        <v/>
      </c>
      <c r="H45" s="30" t="str">
        <f t="array" ref="H45">IF($A45="","",MAX(0,XLOOKUP($A45,'Shipment Setup'!$A:$A,'Shipment Setup'!$L:$L,0)-G45))</f>
        <v/>
      </c>
      <c r="I45" s="30" t="str">
        <f t="array" ref="I45">IF($A45="","",(XLOOKUP($A45,'Shipment Setup'!$A:$A,'Shipment Setup'!$Q:$Q,0)+SUMIFS('Operations Ledger'!$E:$E,'Operations Ledger'!$A:$A,$A45,'Operations Ledger'!$B:$B,"Clenny",'Operations Ledger'!$F:$F,"Yes"))+((F45-(XLOOKUP($A45,'Shipment Setup'!$A:$A,'Shipment Setup'!$N:$N,0)+SUMIFS('Operations Ledger'!$E:$E,'Operations Ledger'!$A:$A,$A45,'Operations Ledger'!$F:$F,"Yes")))*IF((XLOOKUP($A45,'Shipment Setup'!$A:$A,'Shipment Setup'!$Q:$Q,0)+SUMIFS('Operations Ledger'!$E:$E,'Operations Ledger'!$A:$A,$A45,'Operations Ledger'!$B:$B,"Clenny",'Operations Ledger'!$F:$F,"Yes")+XLOOKUP($A45,'Shipment Setup'!$A:$A,'Shipment Setup'!$R:$R,0)+SUMIFS('Operations Ledger'!$E:$E,'Operations Ledger'!$A:$A,$A45,'Operations Ledger'!$B:$B,"Clanny",'Operations Ledger'!$F:$F,"Yes"))=0,0,(XLOOKUP($A45,'Shipment Setup'!$A:$A,'Shipment Setup'!$Q:$Q,0)+SUMIFS('Operations Ledger'!$E:$E,'Operations Ledger'!$A:$A,$A45,'Operations Ledger'!$B:$B,"Clenny",'Operations Ledger'!$F:$F,"Yes"))/(XLOOKUP($A45,'Shipment Setup'!$A:$A,'Shipment Setup'!$Q:$Q,0)+SUMIFS('Operations Ledger'!$E:$E,'Operations Ledger'!$A:$A,$A45,'Operations Ledger'!$B:$B,"Clenny",'Operations Ledger'!$F:$F,"Yes")+XLOOKUP($A45,'Shipment Setup'!$A:$A,'Shipment Setup'!$R:$R,0)+SUMIFS('Operations Ledger'!$E:$E,'Operations Ledger'!$A:$A,$A45,'Operations Ledger'!$B:$B,"Clanny",'Operations Ledger'!$F:$F,"Yes"))))-SUMIFS('Sales Ledger'!$K:$K,'Sales Ledger'!$A:$A,$A45,'Sales Ledger'!$L:$L,"Clenny"))</f>
        <v/>
      </c>
      <c r="J45" s="30" t="str">
        <f t="array" ref="J45">IF($A45="","",(XLOOKUP($A45,'Shipment Setup'!$A:$A,'Shipment Setup'!$R:$R,0)+SUMIFS('Operations Ledger'!$E:$E,'Operations Ledger'!$A:$A,$A45,'Operations Ledger'!$B:$B,"Clanny",'Operations Ledger'!$F:$F,"Yes"))+((F45-(XLOOKUP($A45,'Shipment Setup'!$A:$A,'Shipment Setup'!$N:$N,0)+SUMIFS('Operations Ledger'!$E:$E,'Operations Ledger'!$A:$A,$A45,'Operations Ledger'!$F:$F,"Yes")))*IF((XLOOKUP($A45,'Shipment Setup'!$A:$A,'Shipment Setup'!$Q:$Q,0)+SUMIFS('Operations Ledger'!$E:$E,'Operations Ledger'!$A:$A,$A45,'Operations Ledger'!$B:$B,"Clenny",'Operations Ledger'!$F:$F,"Yes")+XLOOKUP($A45,'Shipment Setup'!$A:$A,'Shipment Setup'!$R:$R,0)+SUMIFS('Operations Ledger'!$E:$E,'Operations Ledger'!$A:$A,$A45,'Operations Ledger'!$B:$B,"Clanny",'Operations Ledger'!$F:$F,"Yes"))=0,0,(XLOOKUP($A45,'Shipment Setup'!$A:$A,'Shipment Setup'!$R:$R,0)+SUMIFS('Operations Ledger'!$E:$E,'Operations Ledger'!$A:$A,$A45,'Operations Ledger'!$B:$B,"Clanny",'Operations Ledger'!$F:$F,"Yes"))/(XLOOKUP($A45,'Shipment Setup'!$A:$A,'Shipment Setup'!$Q:$Q,0)+SUMIFS('Operations Ledger'!$E:$E,'Operations Ledger'!$A:$A,$A45,'Operations Ledger'!$B:$B,"Clenny",'Operations Ledger'!$F:$F,"Yes")+XLOOKUP($A45,'Shipment Setup'!$A:$A,'Shipment Setup'!$R:$R,0)+SUMIFS('Operations Ledger'!$E:$E,'Operations Ledger'!$A:$A,$A45,'Operations Ledger'!$B:$B,"Clanny",'Operations Ledger'!$F:$F,"Yes"))))-SUMIFS('Sales Ledger'!$K:$K,'Sales Ledger'!$A:$A,$A45,'Sales Ledger'!$L:$L,"Clanny"))</f>
        <v/>
      </c>
      <c r="K45" s="30" t="str">
        <f t="array" ref="K45">IF($A45="","",XLOOKUP($A45,'Shipment Setup'!$A:$A,'Shipment Setup'!$S:$S,""))</f>
        <v/>
      </c>
    </row>
    <row r="46" ht="14.25" customHeight="1">
      <c r="A46" s="30" t="str">
        <f>IF('Shipment Setup'!A46="","",'Shipment Setup'!A46)</f>
        <v/>
      </c>
      <c r="B46" s="30" t="str">
        <f t="array" ref="B46">IF($A46="","",XLOOKUP($A46,'Shipment Setup'!$A:$A,'Shipment Setup'!$B:$B,""))</f>
        <v/>
      </c>
      <c r="C46" s="30" t="str">
        <f t="array" ref="C46">IF($A46="","",XLOOKUP($A46,'Shipment Setup'!$A:$A,'Shipment Setup'!$C:$C,""))</f>
        <v/>
      </c>
      <c r="D46" s="30" t="str">
        <f t="array" ref="D46">IF($A46="","",XLOOKUP($A46,'Shipment Setup'!$A:$A,'Shipment Setup'!$N:$N,0))</f>
        <v/>
      </c>
      <c r="E46" s="30" t="str">
        <f t="array" ref="E46">IF($A46="","",XLOOKUP($A46,'Shipment Setup'!$A:$A,'Shipment Setup'!$P:$P,0))</f>
        <v/>
      </c>
      <c r="F46" s="30" t="str">
        <f>IF($A46="","",SUMIFS('Sales Ledger'!$K:$K,'Sales Ledger'!$A:$A,$A46))</f>
        <v/>
      </c>
      <c r="G46" s="30" t="str">
        <f>IF($A46="","",SUMIFS('Sales Ledger'!$I:$I,'Sales Ledger'!$A:$A,$A46))</f>
        <v/>
      </c>
      <c r="H46" s="30" t="str">
        <f t="array" ref="H46">IF($A46="","",MAX(0,XLOOKUP($A46,'Shipment Setup'!$A:$A,'Shipment Setup'!$L:$L,0)-G46))</f>
        <v/>
      </c>
      <c r="I46" s="30" t="str">
        <f t="array" ref="I46">IF($A46="","",(XLOOKUP($A46,'Shipment Setup'!$A:$A,'Shipment Setup'!$Q:$Q,0)+SUMIFS('Operations Ledger'!$E:$E,'Operations Ledger'!$A:$A,$A46,'Operations Ledger'!$B:$B,"Clenny",'Operations Ledger'!$F:$F,"Yes"))+((F46-(XLOOKUP($A46,'Shipment Setup'!$A:$A,'Shipment Setup'!$N:$N,0)+SUMIFS('Operations Ledger'!$E:$E,'Operations Ledger'!$A:$A,$A46,'Operations Ledger'!$F:$F,"Yes")))*IF((XLOOKUP($A46,'Shipment Setup'!$A:$A,'Shipment Setup'!$Q:$Q,0)+SUMIFS('Operations Ledger'!$E:$E,'Operations Ledger'!$A:$A,$A46,'Operations Ledger'!$B:$B,"Clenny",'Operations Ledger'!$F:$F,"Yes")+XLOOKUP($A46,'Shipment Setup'!$A:$A,'Shipment Setup'!$R:$R,0)+SUMIFS('Operations Ledger'!$E:$E,'Operations Ledger'!$A:$A,$A46,'Operations Ledger'!$B:$B,"Clanny",'Operations Ledger'!$F:$F,"Yes"))=0,0,(XLOOKUP($A46,'Shipment Setup'!$A:$A,'Shipment Setup'!$Q:$Q,0)+SUMIFS('Operations Ledger'!$E:$E,'Operations Ledger'!$A:$A,$A46,'Operations Ledger'!$B:$B,"Clenny",'Operations Ledger'!$F:$F,"Yes"))/(XLOOKUP($A46,'Shipment Setup'!$A:$A,'Shipment Setup'!$Q:$Q,0)+SUMIFS('Operations Ledger'!$E:$E,'Operations Ledger'!$A:$A,$A46,'Operations Ledger'!$B:$B,"Clenny",'Operations Ledger'!$F:$F,"Yes")+XLOOKUP($A46,'Shipment Setup'!$A:$A,'Shipment Setup'!$R:$R,0)+SUMIFS('Operations Ledger'!$E:$E,'Operations Ledger'!$A:$A,$A46,'Operations Ledger'!$B:$B,"Clanny",'Operations Ledger'!$F:$F,"Yes"))))-SUMIFS('Sales Ledger'!$K:$K,'Sales Ledger'!$A:$A,$A46,'Sales Ledger'!$L:$L,"Clenny"))</f>
        <v/>
      </c>
      <c r="J46" s="30" t="str">
        <f t="array" ref="J46">IF($A46="","",(XLOOKUP($A46,'Shipment Setup'!$A:$A,'Shipment Setup'!$R:$R,0)+SUMIFS('Operations Ledger'!$E:$E,'Operations Ledger'!$A:$A,$A46,'Operations Ledger'!$B:$B,"Clanny",'Operations Ledger'!$F:$F,"Yes"))+((F46-(XLOOKUP($A46,'Shipment Setup'!$A:$A,'Shipment Setup'!$N:$N,0)+SUMIFS('Operations Ledger'!$E:$E,'Operations Ledger'!$A:$A,$A46,'Operations Ledger'!$F:$F,"Yes")))*IF((XLOOKUP($A46,'Shipment Setup'!$A:$A,'Shipment Setup'!$Q:$Q,0)+SUMIFS('Operations Ledger'!$E:$E,'Operations Ledger'!$A:$A,$A46,'Operations Ledger'!$B:$B,"Clenny",'Operations Ledger'!$F:$F,"Yes")+XLOOKUP($A46,'Shipment Setup'!$A:$A,'Shipment Setup'!$R:$R,0)+SUMIFS('Operations Ledger'!$E:$E,'Operations Ledger'!$A:$A,$A46,'Operations Ledger'!$B:$B,"Clanny",'Operations Ledger'!$F:$F,"Yes"))=0,0,(XLOOKUP($A46,'Shipment Setup'!$A:$A,'Shipment Setup'!$R:$R,0)+SUMIFS('Operations Ledger'!$E:$E,'Operations Ledger'!$A:$A,$A46,'Operations Ledger'!$B:$B,"Clanny",'Operations Ledger'!$F:$F,"Yes"))/(XLOOKUP($A46,'Shipment Setup'!$A:$A,'Shipment Setup'!$Q:$Q,0)+SUMIFS('Operations Ledger'!$E:$E,'Operations Ledger'!$A:$A,$A46,'Operations Ledger'!$B:$B,"Clenny",'Operations Ledger'!$F:$F,"Yes")+XLOOKUP($A46,'Shipment Setup'!$A:$A,'Shipment Setup'!$R:$R,0)+SUMIFS('Operations Ledger'!$E:$E,'Operations Ledger'!$A:$A,$A46,'Operations Ledger'!$B:$B,"Clanny",'Operations Ledger'!$F:$F,"Yes"))))-SUMIFS('Sales Ledger'!$K:$K,'Sales Ledger'!$A:$A,$A46,'Sales Ledger'!$L:$L,"Clanny"))</f>
        <v/>
      </c>
      <c r="K46" s="30" t="str">
        <f t="array" ref="K46">IF($A46="","",XLOOKUP($A46,'Shipment Setup'!$A:$A,'Shipment Setup'!$S:$S,""))</f>
        <v/>
      </c>
    </row>
    <row r="47" ht="14.25" customHeight="1">
      <c r="A47" s="30" t="str">
        <f>IF('Shipment Setup'!A47="","",'Shipment Setup'!A47)</f>
        <v/>
      </c>
      <c r="B47" s="30" t="str">
        <f t="array" ref="B47">IF($A47="","",XLOOKUP($A47,'Shipment Setup'!$A:$A,'Shipment Setup'!$B:$B,""))</f>
        <v/>
      </c>
      <c r="C47" s="30" t="str">
        <f t="array" ref="C47">IF($A47="","",XLOOKUP($A47,'Shipment Setup'!$A:$A,'Shipment Setup'!$C:$C,""))</f>
        <v/>
      </c>
      <c r="D47" s="30" t="str">
        <f t="array" ref="D47">IF($A47="","",XLOOKUP($A47,'Shipment Setup'!$A:$A,'Shipment Setup'!$N:$N,0))</f>
        <v/>
      </c>
      <c r="E47" s="30" t="str">
        <f t="array" ref="E47">IF($A47="","",XLOOKUP($A47,'Shipment Setup'!$A:$A,'Shipment Setup'!$P:$P,0))</f>
        <v/>
      </c>
      <c r="F47" s="30" t="str">
        <f>IF($A47="","",SUMIFS('Sales Ledger'!$K:$K,'Sales Ledger'!$A:$A,$A47))</f>
        <v/>
      </c>
      <c r="G47" s="30" t="str">
        <f>IF($A47="","",SUMIFS('Sales Ledger'!$I:$I,'Sales Ledger'!$A:$A,$A47))</f>
        <v/>
      </c>
      <c r="H47" s="30" t="str">
        <f t="array" ref="H47">IF($A47="","",MAX(0,XLOOKUP($A47,'Shipment Setup'!$A:$A,'Shipment Setup'!$L:$L,0)-G47))</f>
        <v/>
      </c>
      <c r="I47" s="30" t="str">
        <f t="array" ref="I47">IF($A47="","",(XLOOKUP($A47,'Shipment Setup'!$A:$A,'Shipment Setup'!$Q:$Q,0)+SUMIFS('Operations Ledger'!$E:$E,'Operations Ledger'!$A:$A,$A47,'Operations Ledger'!$B:$B,"Clenny",'Operations Ledger'!$F:$F,"Yes"))+((F47-(XLOOKUP($A47,'Shipment Setup'!$A:$A,'Shipment Setup'!$N:$N,0)+SUMIFS('Operations Ledger'!$E:$E,'Operations Ledger'!$A:$A,$A47,'Operations Ledger'!$F:$F,"Yes")))*IF((XLOOKUP($A47,'Shipment Setup'!$A:$A,'Shipment Setup'!$Q:$Q,0)+SUMIFS('Operations Ledger'!$E:$E,'Operations Ledger'!$A:$A,$A47,'Operations Ledger'!$B:$B,"Clenny",'Operations Ledger'!$F:$F,"Yes")+XLOOKUP($A47,'Shipment Setup'!$A:$A,'Shipment Setup'!$R:$R,0)+SUMIFS('Operations Ledger'!$E:$E,'Operations Ledger'!$A:$A,$A47,'Operations Ledger'!$B:$B,"Clanny",'Operations Ledger'!$F:$F,"Yes"))=0,0,(XLOOKUP($A47,'Shipment Setup'!$A:$A,'Shipment Setup'!$Q:$Q,0)+SUMIFS('Operations Ledger'!$E:$E,'Operations Ledger'!$A:$A,$A47,'Operations Ledger'!$B:$B,"Clenny",'Operations Ledger'!$F:$F,"Yes"))/(XLOOKUP($A47,'Shipment Setup'!$A:$A,'Shipment Setup'!$Q:$Q,0)+SUMIFS('Operations Ledger'!$E:$E,'Operations Ledger'!$A:$A,$A47,'Operations Ledger'!$B:$B,"Clenny",'Operations Ledger'!$F:$F,"Yes")+XLOOKUP($A47,'Shipment Setup'!$A:$A,'Shipment Setup'!$R:$R,0)+SUMIFS('Operations Ledger'!$E:$E,'Operations Ledger'!$A:$A,$A47,'Operations Ledger'!$B:$B,"Clanny",'Operations Ledger'!$F:$F,"Yes"))))-SUMIFS('Sales Ledger'!$K:$K,'Sales Ledger'!$A:$A,$A47,'Sales Ledger'!$L:$L,"Clenny"))</f>
        <v/>
      </c>
      <c r="J47" s="30" t="str">
        <f t="array" ref="J47">IF($A47="","",(XLOOKUP($A47,'Shipment Setup'!$A:$A,'Shipment Setup'!$R:$R,0)+SUMIFS('Operations Ledger'!$E:$E,'Operations Ledger'!$A:$A,$A47,'Operations Ledger'!$B:$B,"Clanny",'Operations Ledger'!$F:$F,"Yes"))+((F47-(XLOOKUP($A47,'Shipment Setup'!$A:$A,'Shipment Setup'!$N:$N,0)+SUMIFS('Operations Ledger'!$E:$E,'Operations Ledger'!$A:$A,$A47,'Operations Ledger'!$F:$F,"Yes")))*IF((XLOOKUP($A47,'Shipment Setup'!$A:$A,'Shipment Setup'!$Q:$Q,0)+SUMIFS('Operations Ledger'!$E:$E,'Operations Ledger'!$A:$A,$A47,'Operations Ledger'!$B:$B,"Clenny",'Operations Ledger'!$F:$F,"Yes")+XLOOKUP($A47,'Shipment Setup'!$A:$A,'Shipment Setup'!$R:$R,0)+SUMIFS('Operations Ledger'!$E:$E,'Operations Ledger'!$A:$A,$A47,'Operations Ledger'!$B:$B,"Clanny",'Operations Ledger'!$F:$F,"Yes"))=0,0,(XLOOKUP($A47,'Shipment Setup'!$A:$A,'Shipment Setup'!$R:$R,0)+SUMIFS('Operations Ledger'!$E:$E,'Operations Ledger'!$A:$A,$A47,'Operations Ledger'!$B:$B,"Clanny",'Operations Ledger'!$F:$F,"Yes"))/(XLOOKUP($A47,'Shipment Setup'!$A:$A,'Shipment Setup'!$Q:$Q,0)+SUMIFS('Operations Ledger'!$E:$E,'Operations Ledger'!$A:$A,$A47,'Operations Ledger'!$B:$B,"Clenny",'Operations Ledger'!$F:$F,"Yes")+XLOOKUP($A47,'Shipment Setup'!$A:$A,'Shipment Setup'!$R:$R,0)+SUMIFS('Operations Ledger'!$E:$E,'Operations Ledger'!$A:$A,$A47,'Operations Ledger'!$B:$B,"Clanny",'Operations Ledger'!$F:$F,"Yes"))))-SUMIFS('Sales Ledger'!$K:$K,'Sales Ledger'!$A:$A,$A47,'Sales Ledger'!$L:$L,"Clanny"))</f>
        <v/>
      </c>
      <c r="K47" s="30" t="str">
        <f t="array" ref="K47">IF($A47="","",XLOOKUP($A47,'Shipment Setup'!$A:$A,'Shipment Setup'!$S:$S,""))</f>
        <v/>
      </c>
    </row>
    <row r="48" ht="14.25" customHeight="1">
      <c r="A48" s="30" t="str">
        <f>IF('Shipment Setup'!A48="","",'Shipment Setup'!A48)</f>
        <v/>
      </c>
      <c r="B48" s="30" t="str">
        <f t="array" ref="B48">IF($A48="","",XLOOKUP($A48,'Shipment Setup'!$A:$A,'Shipment Setup'!$B:$B,""))</f>
        <v/>
      </c>
      <c r="C48" s="30" t="str">
        <f t="array" ref="C48">IF($A48="","",XLOOKUP($A48,'Shipment Setup'!$A:$A,'Shipment Setup'!$C:$C,""))</f>
        <v/>
      </c>
      <c r="D48" s="30" t="str">
        <f t="array" ref="D48">IF($A48="","",XLOOKUP($A48,'Shipment Setup'!$A:$A,'Shipment Setup'!$N:$N,0))</f>
        <v/>
      </c>
      <c r="E48" s="30" t="str">
        <f t="array" ref="E48">IF($A48="","",XLOOKUP($A48,'Shipment Setup'!$A:$A,'Shipment Setup'!$P:$P,0))</f>
        <v/>
      </c>
      <c r="F48" s="30" t="str">
        <f>IF($A48="","",SUMIFS('Sales Ledger'!$K:$K,'Sales Ledger'!$A:$A,$A48))</f>
        <v/>
      </c>
      <c r="G48" s="30" t="str">
        <f>IF($A48="","",SUMIFS('Sales Ledger'!$I:$I,'Sales Ledger'!$A:$A,$A48))</f>
        <v/>
      </c>
      <c r="H48" s="30" t="str">
        <f t="array" ref="H48">IF($A48="","",MAX(0,XLOOKUP($A48,'Shipment Setup'!$A:$A,'Shipment Setup'!$L:$L,0)-G48))</f>
        <v/>
      </c>
      <c r="I48" s="30" t="str">
        <f t="array" ref="I48">IF($A48="","",(XLOOKUP($A48,'Shipment Setup'!$A:$A,'Shipment Setup'!$Q:$Q,0)+SUMIFS('Operations Ledger'!$E:$E,'Operations Ledger'!$A:$A,$A48,'Operations Ledger'!$B:$B,"Clenny",'Operations Ledger'!$F:$F,"Yes"))+((F48-(XLOOKUP($A48,'Shipment Setup'!$A:$A,'Shipment Setup'!$N:$N,0)+SUMIFS('Operations Ledger'!$E:$E,'Operations Ledger'!$A:$A,$A48,'Operations Ledger'!$F:$F,"Yes")))*IF((XLOOKUP($A48,'Shipment Setup'!$A:$A,'Shipment Setup'!$Q:$Q,0)+SUMIFS('Operations Ledger'!$E:$E,'Operations Ledger'!$A:$A,$A48,'Operations Ledger'!$B:$B,"Clenny",'Operations Ledger'!$F:$F,"Yes")+XLOOKUP($A48,'Shipment Setup'!$A:$A,'Shipment Setup'!$R:$R,0)+SUMIFS('Operations Ledger'!$E:$E,'Operations Ledger'!$A:$A,$A48,'Operations Ledger'!$B:$B,"Clanny",'Operations Ledger'!$F:$F,"Yes"))=0,0,(XLOOKUP($A48,'Shipment Setup'!$A:$A,'Shipment Setup'!$Q:$Q,0)+SUMIFS('Operations Ledger'!$E:$E,'Operations Ledger'!$A:$A,$A48,'Operations Ledger'!$B:$B,"Clenny",'Operations Ledger'!$F:$F,"Yes"))/(XLOOKUP($A48,'Shipment Setup'!$A:$A,'Shipment Setup'!$Q:$Q,0)+SUMIFS('Operations Ledger'!$E:$E,'Operations Ledger'!$A:$A,$A48,'Operations Ledger'!$B:$B,"Clenny",'Operations Ledger'!$F:$F,"Yes")+XLOOKUP($A48,'Shipment Setup'!$A:$A,'Shipment Setup'!$R:$R,0)+SUMIFS('Operations Ledger'!$E:$E,'Operations Ledger'!$A:$A,$A48,'Operations Ledger'!$B:$B,"Clanny",'Operations Ledger'!$F:$F,"Yes"))))-SUMIFS('Sales Ledger'!$K:$K,'Sales Ledger'!$A:$A,$A48,'Sales Ledger'!$L:$L,"Clenny"))</f>
        <v/>
      </c>
      <c r="J48" s="30" t="str">
        <f t="array" ref="J48">IF($A48="","",(XLOOKUP($A48,'Shipment Setup'!$A:$A,'Shipment Setup'!$R:$R,0)+SUMIFS('Operations Ledger'!$E:$E,'Operations Ledger'!$A:$A,$A48,'Operations Ledger'!$B:$B,"Clanny",'Operations Ledger'!$F:$F,"Yes"))+((F48-(XLOOKUP($A48,'Shipment Setup'!$A:$A,'Shipment Setup'!$N:$N,0)+SUMIFS('Operations Ledger'!$E:$E,'Operations Ledger'!$A:$A,$A48,'Operations Ledger'!$F:$F,"Yes")))*IF((XLOOKUP($A48,'Shipment Setup'!$A:$A,'Shipment Setup'!$Q:$Q,0)+SUMIFS('Operations Ledger'!$E:$E,'Operations Ledger'!$A:$A,$A48,'Operations Ledger'!$B:$B,"Clenny",'Operations Ledger'!$F:$F,"Yes")+XLOOKUP($A48,'Shipment Setup'!$A:$A,'Shipment Setup'!$R:$R,0)+SUMIFS('Operations Ledger'!$E:$E,'Operations Ledger'!$A:$A,$A48,'Operations Ledger'!$B:$B,"Clanny",'Operations Ledger'!$F:$F,"Yes"))=0,0,(XLOOKUP($A48,'Shipment Setup'!$A:$A,'Shipment Setup'!$R:$R,0)+SUMIFS('Operations Ledger'!$E:$E,'Operations Ledger'!$A:$A,$A48,'Operations Ledger'!$B:$B,"Clanny",'Operations Ledger'!$F:$F,"Yes"))/(XLOOKUP($A48,'Shipment Setup'!$A:$A,'Shipment Setup'!$Q:$Q,0)+SUMIFS('Operations Ledger'!$E:$E,'Operations Ledger'!$A:$A,$A48,'Operations Ledger'!$B:$B,"Clenny",'Operations Ledger'!$F:$F,"Yes")+XLOOKUP($A48,'Shipment Setup'!$A:$A,'Shipment Setup'!$R:$R,0)+SUMIFS('Operations Ledger'!$E:$E,'Operations Ledger'!$A:$A,$A48,'Operations Ledger'!$B:$B,"Clanny",'Operations Ledger'!$F:$F,"Yes"))))-SUMIFS('Sales Ledger'!$K:$K,'Sales Ledger'!$A:$A,$A48,'Sales Ledger'!$L:$L,"Clanny"))</f>
        <v/>
      </c>
      <c r="K48" s="30" t="str">
        <f t="array" ref="K48">IF($A48="","",XLOOKUP($A48,'Shipment Setup'!$A:$A,'Shipment Setup'!$S:$S,""))</f>
        <v/>
      </c>
    </row>
    <row r="49" ht="14.25" customHeight="1">
      <c r="A49" s="30" t="str">
        <f>IF('Shipment Setup'!A49="","",'Shipment Setup'!A49)</f>
        <v/>
      </c>
      <c r="B49" s="30" t="str">
        <f t="array" ref="B49">IF($A49="","",XLOOKUP($A49,'Shipment Setup'!$A:$A,'Shipment Setup'!$B:$B,""))</f>
        <v/>
      </c>
      <c r="C49" s="30" t="str">
        <f t="array" ref="C49">IF($A49="","",XLOOKUP($A49,'Shipment Setup'!$A:$A,'Shipment Setup'!$C:$C,""))</f>
        <v/>
      </c>
      <c r="D49" s="30" t="str">
        <f t="array" ref="D49">IF($A49="","",XLOOKUP($A49,'Shipment Setup'!$A:$A,'Shipment Setup'!$N:$N,0))</f>
        <v/>
      </c>
      <c r="E49" s="30" t="str">
        <f t="array" ref="E49">IF($A49="","",XLOOKUP($A49,'Shipment Setup'!$A:$A,'Shipment Setup'!$P:$P,0))</f>
        <v/>
      </c>
      <c r="F49" s="30" t="str">
        <f>IF($A49="","",SUMIFS('Sales Ledger'!$K:$K,'Sales Ledger'!$A:$A,$A49))</f>
        <v/>
      </c>
      <c r="G49" s="30" t="str">
        <f>IF($A49="","",SUMIFS('Sales Ledger'!$I:$I,'Sales Ledger'!$A:$A,$A49))</f>
        <v/>
      </c>
      <c r="H49" s="30" t="str">
        <f t="array" ref="H49">IF($A49="","",MAX(0,XLOOKUP($A49,'Shipment Setup'!$A:$A,'Shipment Setup'!$L:$L,0)-G49))</f>
        <v/>
      </c>
      <c r="I49" s="30" t="str">
        <f t="array" ref="I49">IF($A49="","",(XLOOKUP($A49,'Shipment Setup'!$A:$A,'Shipment Setup'!$Q:$Q,0)+SUMIFS('Operations Ledger'!$E:$E,'Operations Ledger'!$A:$A,$A49,'Operations Ledger'!$B:$B,"Clenny",'Operations Ledger'!$F:$F,"Yes"))+((F49-(XLOOKUP($A49,'Shipment Setup'!$A:$A,'Shipment Setup'!$N:$N,0)+SUMIFS('Operations Ledger'!$E:$E,'Operations Ledger'!$A:$A,$A49,'Operations Ledger'!$F:$F,"Yes")))*IF((XLOOKUP($A49,'Shipment Setup'!$A:$A,'Shipment Setup'!$Q:$Q,0)+SUMIFS('Operations Ledger'!$E:$E,'Operations Ledger'!$A:$A,$A49,'Operations Ledger'!$B:$B,"Clenny",'Operations Ledger'!$F:$F,"Yes")+XLOOKUP($A49,'Shipment Setup'!$A:$A,'Shipment Setup'!$R:$R,0)+SUMIFS('Operations Ledger'!$E:$E,'Operations Ledger'!$A:$A,$A49,'Operations Ledger'!$B:$B,"Clanny",'Operations Ledger'!$F:$F,"Yes"))=0,0,(XLOOKUP($A49,'Shipment Setup'!$A:$A,'Shipment Setup'!$Q:$Q,0)+SUMIFS('Operations Ledger'!$E:$E,'Operations Ledger'!$A:$A,$A49,'Operations Ledger'!$B:$B,"Clenny",'Operations Ledger'!$F:$F,"Yes"))/(XLOOKUP($A49,'Shipment Setup'!$A:$A,'Shipment Setup'!$Q:$Q,0)+SUMIFS('Operations Ledger'!$E:$E,'Operations Ledger'!$A:$A,$A49,'Operations Ledger'!$B:$B,"Clenny",'Operations Ledger'!$F:$F,"Yes")+XLOOKUP($A49,'Shipment Setup'!$A:$A,'Shipment Setup'!$R:$R,0)+SUMIFS('Operations Ledger'!$E:$E,'Operations Ledger'!$A:$A,$A49,'Operations Ledger'!$B:$B,"Clanny",'Operations Ledger'!$F:$F,"Yes"))))-SUMIFS('Sales Ledger'!$K:$K,'Sales Ledger'!$A:$A,$A49,'Sales Ledger'!$L:$L,"Clenny"))</f>
        <v/>
      </c>
      <c r="J49" s="30" t="str">
        <f t="array" ref="J49">IF($A49="","",(XLOOKUP($A49,'Shipment Setup'!$A:$A,'Shipment Setup'!$R:$R,0)+SUMIFS('Operations Ledger'!$E:$E,'Operations Ledger'!$A:$A,$A49,'Operations Ledger'!$B:$B,"Clanny",'Operations Ledger'!$F:$F,"Yes"))+((F49-(XLOOKUP($A49,'Shipment Setup'!$A:$A,'Shipment Setup'!$N:$N,0)+SUMIFS('Operations Ledger'!$E:$E,'Operations Ledger'!$A:$A,$A49,'Operations Ledger'!$F:$F,"Yes")))*IF((XLOOKUP($A49,'Shipment Setup'!$A:$A,'Shipment Setup'!$Q:$Q,0)+SUMIFS('Operations Ledger'!$E:$E,'Operations Ledger'!$A:$A,$A49,'Operations Ledger'!$B:$B,"Clenny",'Operations Ledger'!$F:$F,"Yes")+XLOOKUP($A49,'Shipment Setup'!$A:$A,'Shipment Setup'!$R:$R,0)+SUMIFS('Operations Ledger'!$E:$E,'Operations Ledger'!$A:$A,$A49,'Operations Ledger'!$B:$B,"Clanny",'Operations Ledger'!$F:$F,"Yes"))=0,0,(XLOOKUP($A49,'Shipment Setup'!$A:$A,'Shipment Setup'!$R:$R,0)+SUMIFS('Operations Ledger'!$E:$E,'Operations Ledger'!$A:$A,$A49,'Operations Ledger'!$B:$B,"Clanny",'Operations Ledger'!$F:$F,"Yes"))/(XLOOKUP($A49,'Shipment Setup'!$A:$A,'Shipment Setup'!$Q:$Q,0)+SUMIFS('Operations Ledger'!$E:$E,'Operations Ledger'!$A:$A,$A49,'Operations Ledger'!$B:$B,"Clenny",'Operations Ledger'!$F:$F,"Yes")+XLOOKUP($A49,'Shipment Setup'!$A:$A,'Shipment Setup'!$R:$R,0)+SUMIFS('Operations Ledger'!$E:$E,'Operations Ledger'!$A:$A,$A49,'Operations Ledger'!$B:$B,"Clanny",'Operations Ledger'!$F:$F,"Yes"))))-SUMIFS('Sales Ledger'!$K:$K,'Sales Ledger'!$A:$A,$A49,'Sales Ledger'!$L:$L,"Clanny"))</f>
        <v/>
      </c>
      <c r="K49" s="30" t="str">
        <f t="array" ref="K49">IF($A49="","",XLOOKUP($A49,'Shipment Setup'!$A:$A,'Shipment Setup'!$S:$S,""))</f>
        <v/>
      </c>
    </row>
    <row r="50" ht="14.25" customHeight="1">
      <c r="A50" s="30" t="str">
        <f>IF('Shipment Setup'!A50="","",'Shipment Setup'!A50)</f>
        <v/>
      </c>
      <c r="B50" s="30" t="str">
        <f t="array" ref="B50">IF($A50="","",XLOOKUP($A50,'Shipment Setup'!$A:$A,'Shipment Setup'!$B:$B,""))</f>
        <v/>
      </c>
      <c r="C50" s="30" t="str">
        <f t="array" ref="C50">IF($A50="","",XLOOKUP($A50,'Shipment Setup'!$A:$A,'Shipment Setup'!$C:$C,""))</f>
        <v/>
      </c>
      <c r="D50" s="30" t="str">
        <f t="array" ref="D50">IF($A50="","",XLOOKUP($A50,'Shipment Setup'!$A:$A,'Shipment Setup'!$N:$N,0))</f>
        <v/>
      </c>
      <c r="E50" s="30" t="str">
        <f t="array" ref="E50">IF($A50="","",XLOOKUP($A50,'Shipment Setup'!$A:$A,'Shipment Setup'!$P:$P,0))</f>
        <v/>
      </c>
      <c r="F50" s="30" t="str">
        <f>IF($A50="","",SUMIFS('Sales Ledger'!$K:$K,'Sales Ledger'!$A:$A,$A50))</f>
        <v/>
      </c>
      <c r="G50" s="30" t="str">
        <f>IF($A50="","",SUMIFS('Sales Ledger'!$I:$I,'Sales Ledger'!$A:$A,$A50))</f>
        <v/>
      </c>
      <c r="H50" s="30" t="str">
        <f t="array" ref="H50">IF($A50="","",MAX(0,XLOOKUP($A50,'Shipment Setup'!$A:$A,'Shipment Setup'!$L:$L,0)-G50))</f>
        <v/>
      </c>
      <c r="I50" s="30" t="str">
        <f t="array" ref="I50">IF($A50="","",(XLOOKUP($A50,'Shipment Setup'!$A:$A,'Shipment Setup'!$Q:$Q,0)+SUMIFS('Operations Ledger'!$E:$E,'Operations Ledger'!$A:$A,$A50,'Operations Ledger'!$B:$B,"Clenny",'Operations Ledger'!$F:$F,"Yes"))+((F50-(XLOOKUP($A50,'Shipment Setup'!$A:$A,'Shipment Setup'!$N:$N,0)+SUMIFS('Operations Ledger'!$E:$E,'Operations Ledger'!$A:$A,$A50,'Operations Ledger'!$F:$F,"Yes")))*IF((XLOOKUP($A50,'Shipment Setup'!$A:$A,'Shipment Setup'!$Q:$Q,0)+SUMIFS('Operations Ledger'!$E:$E,'Operations Ledger'!$A:$A,$A50,'Operations Ledger'!$B:$B,"Clenny",'Operations Ledger'!$F:$F,"Yes")+XLOOKUP($A50,'Shipment Setup'!$A:$A,'Shipment Setup'!$R:$R,0)+SUMIFS('Operations Ledger'!$E:$E,'Operations Ledger'!$A:$A,$A50,'Operations Ledger'!$B:$B,"Clanny",'Operations Ledger'!$F:$F,"Yes"))=0,0,(XLOOKUP($A50,'Shipment Setup'!$A:$A,'Shipment Setup'!$Q:$Q,0)+SUMIFS('Operations Ledger'!$E:$E,'Operations Ledger'!$A:$A,$A50,'Operations Ledger'!$B:$B,"Clenny",'Operations Ledger'!$F:$F,"Yes"))/(XLOOKUP($A50,'Shipment Setup'!$A:$A,'Shipment Setup'!$Q:$Q,0)+SUMIFS('Operations Ledger'!$E:$E,'Operations Ledger'!$A:$A,$A50,'Operations Ledger'!$B:$B,"Clenny",'Operations Ledger'!$F:$F,"Yes")+XLOOKUP($A50,'Shipment Setup'!$A:$A,'Shipment Setup'!$R:$R,0)+SUMIFS('Operations Ledger'!$E:$E,'Operations Ledger'!$A:$A,$A50,'Operations Ledger'!$B:$B,"Clanny",'Operations Ledger'!$F:$F,"Yes"))))-SUMIFS('Sales Ledger'!$K:$K,'Sales Ledger'!$A:$A,$A50,'Sales Ledger'!$L:$L,"Clenny"))</f>
        <v/>
      </c>
      <c r="J50" s="30" t="str">
        <f t="array" ref="J50">IF($A50="","",(XLOOKUP($A50,'Shipment Setup'!$A:$A,'Shipment Setup'!$R:$R,0)+SUMIFS('Operations Ledger'!$E:$E,'Operations Ledger'!$A:$A,$A50,'Operations Ledger'!$B:$B,"Clanny",'Operations Ledger'!$F:$F,"Yes"))+((F50-(XLOOKUP($A50,'Shipment Setup'!$A:$A,'Shipment Setup'!$N:$N,0)+SUMIFS('Operations Ledger'!$E:$E,'Operations Ledger'!$A:$A,$A50,'Operations Ledger'!$F:$F,"Yes")))*IF((XLOOKUP($A50,'Shipment Setup'!$A:$A,'Shipment Setup'!$Q:$Q,0)+SUMIFS('Operations Ledger'!$E:$E,'Operations Ledger'!$A:$A,$A50,'Operations Ledger'!$B:$B,"Clenny",'Operations Ledger'!$F:$F,"Yes")+XLOOKUP($A50,'Shipment Setup'!$A:$A,'Shipment Setup'!$R:$R,0)+SUMIFS('Operations Ledger'!$E:$E,'Operations Ledger'!$A:$A,$A50,'Operations Ledger'!$B:$B,"Clanny",'Operations Ledger'!$F:$F,"Yes"))=0,0,(XLOOKUP($A50,'Shipment Setup'!$A:$A,'Shipment Setup'!$R:$R,0)+SUMIFS('Operations Ledger'!$E:$E,'Operations Ledger'!$A:$A,$A50,'Operations Ledger'!$B:$B,"Clanny",'Operations Ledger'!$F:$F,"Yes"))/(XLOOKUP($A50,'Shipment Setup'!$A:$A,'Shipment Setup'!$Q:$Q,0)+SUMIFS('Operations Ledger'!$E:$E,'Operations Ledger'!$A:$A,$A50,'Operations Ledger'!$B:$B,"Clenny",'Operations Ledger'!$F:$F,"Yes")+XLOOKUP($A50,'Shipment Setup'!$A:$A,'Shipment Setup'!$R:$R,0)+SUMIFS('Operations Ledger'!$E:$E,'Operations Ledger'!$A:$A,$A50,'Operations Ledger'!$B:$B,"Clanny",'Operations Ledger'!$F:$F,"Yes"))))-SUMIFS('Sales Ledger'!$K:$K,'Sales Ledger'!$A:$A,$A50,'Sales Ledger'!$L:$L,"Clanny"))</f>
        <v/>
      </c>
      <c r="K50" s="30" t="str">
        <f t="array" ref="K50">IF($A50="","",XLOOKUP($A50,'Shipment Setup'!$A:$A,'Shipment Setup'!$S:$S,""))</f>
        <v/>
      </c>
    </row>
    <row r="51" ht="14.25" customHeight="1">
      <c r="A51" s="30" t="str">
        <f>IF('Shipment Setup'!A51="","",'Shipment Setup'!A51)</f>
        <v/>
      </c>
      <c r="B51" s="30" t="str">
        <f t="array" ref="B51">IF($A51="","",XLOOKUP($A51,'Shipment Setup'!$A:$A,'Shipment Setup'!$B:$B,""))</f>
        <v/>
      </c>
      <c r="C51" s="30" t="str">
        <f t="array" ref="C51">IF($A51="","",XLOOKUP($A51,'Shipment Setup'!$A:$A,'Shipment Setup'!$C:$C,""))</f>
        <v/>
      </c>
      <c r="D51" s="30" t="str">
        <f t="array" ref="D51">IF($A51="","",XLOOKUP($A51,'Shipment Setup'!$A:$A,'Shipment Setup'!$N:$N,0))</f>
        <v/>
      </c>
      <c r="E51" s="30" t="str">
        <f t="array" ref="E51">IF($A51="","",XLOOKUP($A51,'Shipment Setup'!$A:$A,'Shipment Setup'!$P:$P,0))</f>
        <v/>
      </c>
      <c r="F51" s="30" t="str">
        <f>IF($A51="","",SUMIFS('Sales Ledger'!$K:$K,'Sales Ledger'!$A:$A,$A51))</f>
        <v/>
      </c>
      <c r="G51" s="30" t="str">
        <f>IF($A51="","",SUMIFS('Sales Ledger'!$I:$I,'Sales Ledger'!$A:$A,$A51))</f>
        <v/>
      </c>
      <c r="H51" s="30" t="str">
        <f t="array" ref="H51">IF($A51="","",MAX(0,XLOOKUP($A51,'Shipment Setup'!$A:$A,'Shipment Setup'!$L:$L,0)-G51))</f>
        <v/>
      </c>
      <c r="I51" s="30" t="str">
        <f t="array" ref="I51">IF($A51="","",(XLOOKUP($A51,'Shipment Setup'!$A:$A,'Shipment Setup'!$Q:$Q,0)+SUMIFS('Operations Ledger'!$E:$E,'Operations Ledger'!$A:$A,$A51,'Operations Ledger'!$B:$B,"Clenny",'Operations Ledger'!$F:$F,"Yes"))+((F51-(XLOOKUP($A51,'Shipment Setup'!$A:$A,'Shipment Setup'!$N:$N,0)+SUMIFS('Operations Ledger'!$E:$E,'Operations Ledger'!$A:$A,$A51,'Operations Ledger'!$F:$F,"Yes")))*IF((XLOOKUP($A51,'Shipment Setup'!$A:$A,'Shipment Setup'!$Q:$Q,0)+SUMIFS('Operations Ledger'!$E:$E,'Operations Ledger'!$A:$A,$A51,'Operations Ledger'!$B:$B,"Clenny",'Operations Ledger'!$F:$F,"Yes")+XLOOKUP($A51,'Shipment Setup'!$A:$A,'Shipment Setup'!$R:$R,0)+SUMIFS('Operations Ledger'!$E:$E,'Operations Ledger'!$A:$A,$A51,'Operations Ledger'!$B:$B,"Clanny",'Operations Ledger'!$F:$F,"Yes"))=0,0,(XLOOKUP($A51,'Shipment Setup'!$A:$A,'Shipment Setup'!$Q:$Q,0)+SUMIFS('Operations Ledger'!$E:$E,'Operations Ledger'!$A:$A,$A51,'Operations Ledger'!$B:$B,"Clenny",'Operations Ledger'!$F:$F,"Yes"))/(XLOOKUP($A51,'Shipment Setup'!$A:$A,'Shipment Setup'!$Q:$Q,0)+SUMIFS('Operations Ledger'!$E:$E,'Operations Ledger'!$A:$A,$A51,'Operations Ledger'!$B:$B,"Clenny",'Operations Ledger'!$F:$F,"Yes")+XLOOKUP($A51,'Shipment Setup'!$A:$A,'Shipment Setup'!$R:$R,0)+SUMIFS('Operations Ledger'!$E:$E,'Operations Ledger'!$A:$A,$A51,'Operations Ledger'!$B:$B,"Clanny",'Operations Ledger'!$F:$F,"Yes"))))-SUMIFS('Sales Ledger'!$K:$K,'Sales Ledger'!$A:$A,$A51,'Sales Ledger'!$L:$L,"Clenny"))</f>
        <v/>
      </c>
      <c r="J51" s="30" t="str">
        <f t="array" ref="J51">IF($A51="","",(XLOOKUP($A51,'Shipment Setup'!$A:$A,'Shipment Setup'!$R:$R,0)+SUMIFS('Operations Ledger'!$E:$E,'Operations Ledger'!$A:$A,$A51,'Operations Ledger'!$B:$B,"Clanny",'Operations Ledger'!$F:$F,"Yes"))+((F51-(XLOOKUP($A51,'Shipment Setup'!$A:$A,'Shipment Setup'!$N:$N,0)+SUMIFS('Operations Ledger'!$E:$E,'Operations Ledger'!$A:$A,$A51,'Operations Ledger'!$F:$F,"Yes")))*IF((XLOOKUP($A51,'Shipment Setup'!$A:$A,'Shipment Setup'!$Q:$Q,0)+SUMIFS('Operations Ledger'!$E:$E,'Operations Ledger'!$A:$A,$A51,'Operations Ledger'!$B:$B,"Clenny",'Operations Ledger'!$F:$F,"Yes")+XLOOKUP($A51,'Shipment Setup'!$A:$A,'Shipment Setup'!$R:$R,0)+SUMIFS('Operations Ledger'!$E:$E,'Operations Ledger'!$A:$A,$A51,'Operations Ledger'!$B:$B,"Clanny",'Operations Ledger'!$F:$F,"Yes"))=0,0,(XLOOKUP($A51,'Shipment Setup'!$A:$A,'Shipment Setup'!$R:$R,0)+SUMIFS('Operations Ledger'!$E:$E,'Operations Ledger'!$A:$A,$A51,'Operations Ledger'!$B:$B,"Clanny",'Operations Ledger'!$F:$F,"Yes"))/(XLOOKUP($A51,'Shipment Setup'!$A:$A,'Shipment Setup'!$Q:$Q,0)+SUMIFS('Operations Ledger'!$E:$E,'Operations Ledger'!$A:$A,$A51,'Operations Ledger'!$B:$B,"Clenny",'Operations Ledger'!$F:$F,"Yes")+XLOOKUP($A51,'Shipment Setup'!$A:$A,'Shipment Setup'!$R:$R,0)+SUMIFS('Operations Ledger'!$E:$E,'Operations Ledger'!$A:$A,$A51,'Operations Ledger'!$B:$B,"Clanny",'Operations Ledger'!$F:$F,"Yes"))))-SUMIFS('Sales Ledger'!$K:$K,'Sales Ledger'!$A:$A,$A51,'Sales Ledger'!$L:$L,"Clanny"))</f>
        <v/>
      </c>
      <c r="K51" s="30" t="str">
        <f t="array" ref="K51">IF($A51="","",XLOOKUP($A51,'Shipment Setup'!$A:$A,'Shipment Setup'!$S:$S,""))</f>
        <v/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